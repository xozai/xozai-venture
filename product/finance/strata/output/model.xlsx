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4"/>
    <sheet sheetId="2" name="Scenarios" state="visible" r:id="rId5"/>
    <sheet sheetId="3" name="Revenue" state="visible" r:id="rId6"/>
    <sheet sheetId="4" name="Headcount" state="visible" r:id="rId7"/>
    <sheet sheetId="5" name="OpEx" state="visible" r:id="rId8"/>
    <sheet sheetId="6" name="Statements" state="visible" r:id="rId9"/>
    <sheet sheetId="7" name="Cash" state="visible" r:id="rId10"/>
    <sheet sheetId="8" name="Metrics" state="visible" r:id="rId11"/>
    <sheet sheetId="9" name="Checks" state="visible" r:id="rId12"/>
    <sheet sheetId="10" name="Sources" state="visible" r:id="rId13"/>
  </sheets>
  <definedNames>
    <definedName name="ScenarioSelector">Assumptions!$B$2</definedName>
  </definedNames>
  <calcPr calcId="171027" fullCalcOnLoad="1"/>
</workbook>
</file>

<file path=xl/sharedStrings.xml><?xml version="1.0" encoding="utf-8"?>
<sst xmlns="http://schemas.openxmlformats.org/spreadsheetml/2006/main" count="2172" uniqueCount="354">
  <si>
    <t>Financial model</t>
  </si>
  <si>
    <t>Value</t>
  </si>
  <si>
    <t>Unit</t>
  </si>
  <si>
    <t>Source</t>
  </si>
  <si>
    <t>Date</t>
  </si>
  <si>
    <t>Confidence</t>
  </si>
  <si>
    <t>Notes</t>
  </si>
  <si>
    <t>Scenario selector</t>
  </si>
  <si>
    <t>Base</t>
  </si>
  <si>
    <t/>
  </si>
  <si>
    <t>Choose Base, Upside, or Downside</t>
  </si>
  <si>
    <t>meta.venture</t>
  </si>
  <si>
    <t>strata</t>
  </si>
  <si>
    <t>text</t>
  </si>
  <si>
    <t>product/FINANCIAL_BRIEF_STRATA.md</t>
  </si>
  <si>
    <t>2026-08-30</t>
  </si>
  <si>
    <t>H</t>
  </si>
  <si>
    <t>meta.scenario</t>
  </si>
  <si>
    <t>base</t>
  </si>
  <si>
    <t>meta.currency</t>
  </si>
  <si>
    <t>USD</t>
  </si>
  <si>
    <t>iso-4217</t>
  </si>
  <si>
    <t>brief</t>
  </si>
  <si>
    <t>meta.start_month</t>
  </si>
  <si>
    <t>2026-10</t>
  </si>
  <si>
    <t>YYYY-MM</t>
  </si>
  <si>
    <t>joseleos in Strata channel 2026-08-30 04:47 (event d9d225ef) — launch in 6–8 weeks from 2026-08-30</t>
  </si>
  <si>
    <t>M</t>
  </si>
  <si>
    <t>meta.horizon_months</t>
  </si>
  <si>
    <t>months</t>
  </si>
  <si>
    <t>docs/FINANCIAL_MODEL_PLAN.md answer #1 (3-year default) — carried over pending confirmation | confirmed by joseleos 2026-08-30 15:23</t>
  </si>
  <si>
    <t>meta.opening_cash</t>
  </si>
  <si>
    <t>assumption: company cash at launch not yet stated by joseleos — PLACEHOLDER, please override | override: joseleos 2026-08-30 15:23 (event 7a9ad457) 'assume under $10,000' → modeled at the $10k ceiling</t>
  </si>
  <si>
    <t>L</t>
  </si>
  <si>
    <t>formation_legal.items[0].name</t>
  </si>
  <si>
    <t>Delaware Public Benefit Corporation formation (incl. 83(b), IP assignment)</t>
  </si>
  <si>
    <t>stripe.com/atlas ($500) / clerky.com (~$800 formation + post-incorporation); HermesX wiki note 2026-06-27 says C Corp already forming — may already be spent | override: joseleos 2026-08-30 15:23 — entity is a PBC (state assumed Delaware; taxed as a C-Corp, same franchise tax)</t>
  </si>
  <si>
    <t>formation_legal.items[0].amount</t>
  </si>
  <si>
    <t>stripe.com/atlas ($500) / clerky.com (~$800 formation + post-incorporation); HermesX wiki note 2026-06-27 says C Corp already forming — may already be spent | Delaware PBC confirmed by joseleos 2026-08-30 15:28 (event 66e12ec9)</t>
  </si>
  <si>
    <t>formation_legal.items[0].cadence</t>
  </si>
  <si>
    <t>one_time</t>
  </si>
  <si>
    <t>cadence</t>
  </si>
  <si>
    <t>stripe.com/atlas ($500) / clerky.com (~$800 formation + post-incorporation); HermesX wiki note 2026-06-27 says C Corp already forming — may already be spent</t>
  </si>
  <si>
    <t>formation_legal.items[0].start_month</t>
  </si>
  <si>
    <t>month</t>
  </si>
  <si>
    <t>formation_legal.items[0].end_month</t>
  </si>
  <si>
    <t>formation_legal.items[1].name</t>
  </si>
  <si>
    <t>Delaware registered agent</t>
  </si>
  <si>
    <t>delawareregisteredagent.com / harvardbusiness services $50–$300/yr range</t>
  </si>
  <si>
    <t>formation_legal.items[1].amount</t>
  </si>
  <si>
    <t>delawareregisteredagent.com / harvardbusiness services $50–$300/yr range | Delaware PBC confirmed by joseleos 2026-08-30 15:28 (event 66e12ec9)</t>
  </si>
  <si>
    <t>formation_legal.items[1].cadence</t>
  </si>
  <si>
    <t>annual</t>
  </si>
  <si>
    <t>formation_legal.items[1].start_month</t>
  </si>
  <si>
    <t>formation_legal.items[1].end_month</t>
  </si>
  <si>
    <t>formation_legal.items[2].name</t>
  </si>
  <si>
    <t>Delaware franchise tax + annual report (assumed-par-value minimum)</t>
  </si>
  <si>
    <t>corp.delaware.gov: $400 min tax (assumed par value method) + $50 report fee</t>
  </si>
  <si>
    <t>formation_legal.items[2].amount</t>
  </si>
  <si>
    <t>corp.delaware.gov: $400 min tax (assumed par value method) + $50 report fee | Delaware PBC confirmed by joseleos 2026-08-30 15:28 (event 66e12ec9)</t>
  </si>
  <si>
    <t>formation_legal.items[2].cadence</t>
  </si>
  <si>
    <t>formation_legal.items[2].start_month</t>
  </si>
  <si>
    <t>formation_legal.items[2].end_month</t>
  </si>
  <si>
    <t>formation_legal.items[3].name</t>
  </si>
  <si>
    <t>Texas foreign qualification (Form 301)</t>
  </si>
  <si>
    <t>sos.state.tx.us fee schedule: $750 foreign for-profit corporation registration</t>
  </si>
  <si>
    <t>formation_legal.items[3].amount</t>
  </si>
  <si>
    <t>sos.state.tx.us fee schedule: $750 foreign for-profit corporation registration | Delaware PBC confirmed by joseleos 2026-08-30 15:28 (event 66e12ec9)</t>
  </si>
  <si>
    <t>formation_legal.items[3].cadence</t>
  </si>
  <si>
    <t>formation_legal.items[3].start_month</t>
  </si>
  <si>
    <t>formation_legal.items[3].end_month</t>
  </si>
  <si>
    <t>formation_legal.items[4].name</t>
  </si>
  <si>
    <t>Municipal pilot agreement + MSA/DPA templates (counsel)</t>
  </si>
  <si>
    <t>assumption: GTM open question #3 says pilot agreement not yet drafted; municipal data terms + TX Public Information Act clauses</t>
  </si>
  <si>
    <t>formation_legal.items[4].amount</t>
  </si>
  <si>
    <t>formation_legal.items[4].cadence</t>
  </si>
  <si>
    <t>formation_legal.items[4].start_month</t>
  </si>
  <si>
    <t>formation_legal.items[4].end_month</t>
  </si>
  <si>
    <t>formation_legal.items[5].name</t>
  </si>
  <si>
    <t>Trademark filing (USPTO 1 class + counsel)</t>
  </si>
  <si>
    <t>uspto.gov: $350/class electronic filing fee (2025) + ~$1,000 counsel</t>
  </si>
  <si>
    <t>formation_legal.items[5].amount</t>
  </si>
  <si>
    <t>formation_legal.items[5].cadence</t>
  </si>
  <si>
    <t>formation_legal.items[5].start_month</t>
  </si>
  <si>
    <t>formation_legal.items[5].end_month</t>
  </si>
  <si>
    <t>formation_legal.items[6].name</t>
  </si>
  <si>
    <t>Financing counsel reserve</t>
  </si>
  <si>
    <t>Bootstrapped base case per joseleos (minimal budget until revenue or investment) — $0; add on override if a SAFE is raised</t>
  </si>
  <si>
    <t>formation_legal.items[6].amount</t>
  </si>
  <si>
    <t>formation_legal.items[6].cadence</t>
  </si>
  <si>
    <t>formation_legal.items[6].start_month</t>
  </si>
  <si>
    <t>formation_legal.items[6].end_month</t>
  </si>
  <si>
    <t>ga_ops.items[0].name</t>
  </si>
  <si>
    <t>Bookkeeping + accounting (outsourced)</t>
  </si>
  <si>
    <t>assumption: Bench/Pilot starter tiers $300–$700/mo; low end while transactions are few</t>
  </si>
  <si>
    <t>ga_ops.items[0].amount</t>
  </si>
  <si>
    <t>ga_ops.items[0].cadence</t>
  </si>
  <si>
    <t>monthly</t>
  </si>
  <si>
    <t>ga_ops.items[0].start_month</t>
  </si>
  <si>
    <t>ga_ops.items[0].end_month</t>
  </si>
  <si>
    <t>ga_ops.items[1].name</t>
  </si>
  <si>
    <t>Annual tax prep (federal 1120 + DE + TX franchise no-tax-due report)</t>
  </si>
  <si>
    <t>assumption: small C-Corp return $1.5–2.5k; TX franchise tax no-tax-due threshold $2.47M (comptroller.texas.gov)</t>
  </si>
  <si>
    <t>ga_ops.items[1].amount</t>
  </si>
  <si>
    <t>ga_ops.items[1].cadence</t>
  </si>
  <si>
    <t>ga_ops.items[1].start_month</t>
  </si>
  <si>
    <t>ga_ops.items[1].end_month</t>
  </si>
  <si>
    <t>ga_ops.items[2].name</t>
  </si>
  <si>
    <t>Insurance: cyber liability $1M + tech E&amp;O + GL</t>
  </si>
  <si>
    <t>assumption: early-stage SaaS packages (Vouch/Embroker) $2–5k/yr; TX cities commonly require a certificate of insurance before pilot data access</t>
  </si>
  <si>
    <t>ga_ops.items[2].amount</t>
  </si>
  <si>
    <t>ga_ops.items[2].cadence</t>
  </si>
  <si>
    <t>ga_ops.items[2].start_month</t>
  </si>
  <si>
    <t>ga_ops.items[2].end_month</t>
  </si>
  <si>
    <t>ga_ops.items[3].name</t>
  </si>
  <si>
    <t>Software seats + domain + email + banking</t>
  </si>
  <si>
    <t>assumption: Google Workspace, 1Password, Mercury (free), domain — per active person</t>
  </si>
  <si>
    <t>ga_ops.items[3].amount</t>
  </si>
  <si>
    <t>ga_ops.items[3].cadence</t>
  </si>
  <si>
    <t>ga_ops.items[3].start_month</t>
  </si>
  <si>
    <t>ga_ops.items[3].end_month</t>
  </si>
  <si>
    <t>ga_ops.items[4].name</t>
  </si>
  <si>
    <t>Payroll provider (Gusto) — starts with first paid employee</t>
  </si>
  <si>
    <t>gusto.com Simple plan $40/mo + $6/person</t>
  </si>
  <si>
    <t>ga_ops.items[4].amount</t>
  </si>
  <si>
    <t>ga_ops.items[4].cadence</t>
  </si>
  <si>
    <t>ga_ops.items[4].start_month</t>
  </si>
  <si>
    <t>ga_ops.items[4].end_month</t>
  </si>
  <si>
    <t>ga_ops.items[5].name</t>
  </si>
  <si>
    <t>Remote stipend / coworking</t>
  </si>
  <si>
    <t>joseleos in Strata channel 2026-08-30 04:47 (event d9d225ef) — minimal budget; $0 until funded</t>
  </si>
  <si>
    <t>ga_ops.items[5].amount</t>
  </si>
  <si>
    <t>ga_ops.items[5].cadence</t>
  </si>
  <si>
    <t>ga_ops.items[5].start_month</t>
  </si>
  <si>
    <t>ga_ops.items[5].end_month</t>
  </si>
  <si>
    <t>personnel.roster[0].role</t>
  </si>
  <si>
    <t>Founder / CEO + product (joseleos)</t>
  </si>
  <si>
    <t>joseleos in Strata channel 2026-08-30 04:47 (event d9d225ef); base is memo-only (deferred) per FINANCIAL_MODEL_PLAN answer #2</t>
  </si>
  <si>
    <t>personnel.roster[0].headcount</t>
  </si>
  <si>
    <t>FTE</t>
  </si>
  <si>
    <t>personnel.roster[0].start_month</t>
  </si>
  <si>
    <t>personnel.roster[0].end_month</t>
  </si>
  <si>
    <t>personnel.roster[0].annual_base</t>
  </si>
  <si>
    <t>USD/yr</t>
  </si>
  <si>
    <t>personnel.roster[0].employer_tax_pct</t>
  </si>
  <si>
    <t>ratio</t>
  </si>
  <si>
    <t>FICA 7.65% (irs.gov Topic 751) + FUTA 0.6% + TX SUTA new-employer 2.7% on first $9k (twc.texas.gov) ≈ 9% blended</t>
  </si>
  <si>
    <t>personnel.roster[0].benefits_pct</t>
  </si>
  <si>
    <t>assumption: small-employer health + 401k match, no equity accounting</t>
  </si>
  <si>
    <t>personnel.roster[0].equipment</t>
  </si>
  <si>
    <t>USD one-time</t>
  </si>
  <si>
    <t>assumption: laptop + peripherals</t>
  </si>
  <si>
    <t>personnel.roster[0].founder</t>
  </si>
  <si>
    <t>bool</t>
  </si>
  <si>
    <t>personnel.roster[0].defer_until_funding</t>
  </si>
  <si>
    <t>docs/FINANCIAL_MODEL_PLAN.md answers 2026-08-30 (founder pay deferred until funding) — carried over to Strata pending confirmation | confirmed by joseleos 2026-08-30 15:23</t>
  </si>
  <si>
    <t>personnel.roster[1].role</t>
  </si>
  <si>
    <t>Contract full-stack engineer, 0.5 FTE (1099; no payroll burden)</t>
  </si>
  <si>
    <t>assumption: ~$12k/mo full-time-equivalent US contractor rate at half time; ends the month before the FTE hire</t>
  </si>
  <si>
    <t>personnel.roster[1].headcount</t>
  </si>
  <si>
    <t>personnel.roster[1].start_month</t>
  </si>
  <si>
    <t>personnel.roster[1].end_month</t>
  </si>
  <si>
    <t>personnel.roster[1].annual_base</t>
  </si>
  <si>
    <t>personnel.roster[1].employer_tax_pct</t>
  </si>
  <si>
    <t>1099 contractor — no employer payroll tax</t>
  </si>
  <si>
    <t>personnel.roster[1].benefits_pct</t>
  </si>
  <si>
    <t>1099 contractor — no benefits</t>
  </si>
  <si>
    <t>personnel.roster[1].equipment</t>
  </si>
  <si>
    <t>contractor supplies own equipment</t>
  </si>
  <si>
    <t>personnel.roster[1].founder</t>
  </si>
  <si>
    <t>personnel.roster[1].defer_until_funding</t>
  </si>
  <si>
    <t>docs/FINANCIAL_MODEL_PLAN.md answers 2026-08-30 (founder pay deferred until funding) — carried over to Strata pending confirmation</t>
  </si>
  <si>
    <t>personnel.roster[2].role</t>
  </si>
  <si>
    <t>Full-stack engineer, FTE (hired once gross-margin cash covers ≈$13.1k/mo loaded cost ≈ 18 paying Core cities)</t>
  </si>
  <si>
    <t>assumption: Texas remote senior full-stack $120–150k base (levels.fyi/BuiltIn Austin 2025 ranges); timing rule from FINANCIAL_BRIEF_STRATA.md</t>
  </si>
  <si>
    <t>personnel.roster[2].headcount</t>
  </si>
  <si>
    <t>personnel.roster[2].start_month</t>
  </si>
  <si>
    <t>personnel.roster[2].end_month</t>
  </si>
  <si>
    <t>personnel.roster[2].annual_base</t>
  </si>
  <si>
    <t>personnel.roster[2].employer_tax_pct</t>
  </si>
  <si>
    <t>personnel.roster[2].benefits_pct</t>
  </si>
  <si>
    <t>personnel.roster[2].equipment</t>
  </si>
  <si>
    <t>personnel.roster[2].founder</t>
  </si>
  <si>
    <t>personnel.roster[2].defer_until_funding</t>
  </si>
  <si>
    <t>rnd.items[0].name</t>
  </si>
  <si>
    <t>Hosting: app + Postgres + object storage + vector index + monitoring (fixed floor)</t>
  </si>
  <si>
    <t>assumption: Vercel/Railway + managed Postgres + S3-class storage; per-city variable cost is in COGS</t>
  </si>
  <si>
    <t>rnd.items[0].amount</t>
  </si>
  <si>
    <t>rnd.items[0].cadence</t>
  </si>
  <si>
    <t>rnd.items[0].start_month</t>
  </si>
  <si>
    <t>rnd.items[0].end_month</t>
  </si>
  <si>
    <t>rnd.items[1].name</t>
  </si>
  <si>
    <t>Dev tooling (GitHub, CI, error tracking, LLM eval)</t>
  </si>
  <si>
    <t>assumption</t>
  </si>
  <si>
    <t>rnd.items[1].amount</t>
  </si>
  <si>
    <t>rnd.items[1].cadence</t>
  </si>
  <si>
    <t>rnd.items[1].start_month</t>
  </si>
  <si>
    <t>rnd.items[1].end_month</t>
  </si>
  <si>
    <t>rnd.items[2].name</t>
  </si>
  <si>
    <t>Security review + SOC2-lite readiness (pen test, policies) before Growth-tier cities</t>
  </si>
  <si>
    <t>assumption: 50K+ cities and TX DIR-style questionnaires expect a third-party review; single vendor pen test $4–8k</t>
  </si>
  <si>
    <t>rnd.items[2].amount</t>
  </si>
  <si>
    <t>rnd.items[2].cadence</t>
  </si>
  <si>
    <t>rnd.items[2].start_month</t>
  </si>
  <si>
    <t>rnd.items[2].end_month</t>
  </si>
  <si>
    <t>rnd.items[3].name</t>
  </si>
  <si>
    <t>Contract design/UX (pilot onboarding flow, City Snapshot polish)</t>
  </si>
  <si>
    <t>assumption: product already live (stratacivicsolutions.com, Schertz demo); hardening not greenfield — see product/finance/strata/BUILD_ESTIMATE.md</t>
  </si>
  <si>
    <t>rnd.items[3].amount</t>
  </si>
  <si>
    <t>rnd.items[3].cadence</t>
  </si>
  <si>
    <t>rnd.items[3].start_month</t>
  </si>
  <si>
    <t>rnd.items[3].end_month</t>
  </si>
  <si>
    <t>sales_marketing.items[0].name</t>
  </si>
  <si>
    <t>TML Annual Conference exhibitor booth (Nov 11–13, San Antonio)</t>
  </si>
  <si>
    <t>~/Documents/Strata_Market_Research.docx (Researcher, 2026-08-29) + ~/Documents/Strata_GTM_Strategy.docx (HermesX, 2026-08-29, draft pending sign-off) (Week 1: register booth); fee not yet quoted by TML — GTM open question #1</t>
  </si>
  <si>
    <t>sales_marketing.items[0].amount</t>
  </si>
  <si>
    <t>sales_marketing.items[0].cadence</t>
  </si>
  <si>
    <t>sales_marketing.items[0].start_month</t>
  </si>
  <si>
    <t>sales_marketing.items[0].end_month</t>
  </si>
  <si>
    <t>sales_marketing.items[1].name</t>
  </si>
  <si>
    <t>TML booth travel, lodging, collateral, demo hardware</t>
  </si>
  <si>
    <t>assumption: 2 nights San Antonio + printed one-pagers + banner</t>
  </si>
  <si>
    <t>sales_marketing.items[1].amount</t>
  </si>
  <si>
    <t>sales_marketing.items[1].cadence</t>
  </si>
  <si>
    <t>sales_marketing.items[1].start_month</t>
  </si>
  <si>
    <t>sales_marketing.items[1].end_month</t>
  </si>
  <si>
    <t>sales_marketing.items[2].name</t>
  </si>
  <si>
    <t>TML Region meetings / TCMA regionals (travel, per event)</t>
  </si>
  <si>
    <t>~/Documents/Strata_Market_Research.docx (Researcher, 2026-08-29) §5.3 event calendar (Sep 2 Region 8, Sep 9 Small City, Sep–Oct TCMA) — ~1 event/mo year 1</t>
  </si>
  <si>
    <t>sales_marketing.items[2].amount</t>
  </si>
  <si>
    <t>sales_marketing.items[2].cadence</t>
  </si>
  <si>
    <t>sales_marketing.items[2].start_month</t>
  </si>
  <si>
    <t>sales_marketing.items[2].end_month</t>
  </si>
  <si>
    <t>sales_marketing.items[3].name</t>
  </si>
  <si>
    <t>Year-2/3 conferences (TML, TCMA, ELGL) incl. travel</t>
  </si>
  <si>
    <t>assumption: 3 events/yr at ~$4.5k all-in</t>
  </si>
  <si>
    <t>sales_marketing.items[3].amount</t>
  </si>
  <si>
    <t>sales_marketing.items[3].cadence</t>
  </si>
  <si>
    <t>sales_marketing.items[3].start_month</t>
  </si>
  <si>
    <t>sales_marketing.items[3].end_month</t>
  </si>
  <si>
    <t>sales_marketing.items[4].name</t>
  </si>
  <si>
    <t>Website hosting, pilot signup form, CRM (HubSpot free → Starter)</t>
  </si>
  <si>
    <t>~/Documents/Strata_GTM_Strategy.docx (HermesX, 2026-08-29, draft pending sign-off) §9 open question #6 (pilot signup page needed) + HubSpot Starter ~$20–50/seat</t>
  </si>
  <si>
    <t>sales_marketing.items[4].amount</t>
  </si>
  <si>
    <t>sales_marketing.items[4].cadence</t>
  </si>
  <si>
    <t>sales_marketing.items[4].start_month</t>
  </si>
  <si>
    <t>sales_marketing.items[4].end_month</t>
  </si>
  <si>
    <t>sales_marketing.items[5].name</t>
  </si>
  <si>
    <t>Content + LinkedIn (Scribe-drafted, organic, no paid media year 1)</t>
  </si>
  <si>
    <t>joseleos in Strata channel 2026-08-30 04:47 (event d9d225ef) — minimal budget; organic only per GTM §5</t>
  </si>
  <si>
    <t>sales_marketing.items[5].amount</t>
  </si>
  <si>
    <t>sales_marketing.items[5].cadence</t>
  </si>
  <si>
    <t>sales_marketing.items[5].start_month</t>
  </si>
  <si>
    <t>sales_marketing.items[5].end_month</t>
  </si>
  <si>
    <t>sales_marketing.items[6].name</t>
  </si>
  <si>
    <t>Paid LinkedIn / sponsored ELGL / GovTech placement (year 2+)</t>
  </si>
  <si>
    <t>assumption: light paid targeting once testimonials exist (GTM §5 sequencing)</t>
  </si>
  <si>
    <t>sales_marketing.items[6].amount</t>
  </si>
  <si>
    <t>sales_marketing.items[6].cadence</t>
  </si>
  <si>
    <t>sales_marketing.items[6].start_month</t>
  </si>
  <si>
    <t>sales_marketing.items[6].end_month</t>
  </si>
  <si>
    <t>sales_marketing.items[7].name</t>
  </si>
  <si>
    <t>Pilot onboarding cost (document ingestion labor/tooling per pilot city, ~1.5 pilots/mo year 1)</t>
  </si>
  <si>
    <t>assumption: GTM §4.1 waives the $1,000 onboarding fee for pilots; ingestion is mostly automated</t>
  </si>
  <si>
    <t>sales_marketing.items[7].amount</t>
  </si>
  <si>
    <t>sales_marketing.items[7].cadence</t>
  </si>
  <si>
    <t>sales_marketing.items[7].start_month</t>
  </si>
  <si>
    <t>sales_marketing.items[7].end_month</t>
  </si>
  <si>
    <t>cogs.revenue_pct</t>
  </si>
  <si>
    <t>assumption: support tooling + occasional card fees (most cities pay by ACH/check; TX municipalities are sales-tax exempt)</t>
  </si>
  <si>
    <t>cogs.per_active_logo_monthly</t>
  </si>
  <si>
    <t>USD/city/month</t>
  </si>
  <si>
    <t>assumption: LLM inference (Claude API) + retrieval + storage per city at realistic usage (hundreds to low thousands of cited queries/mo, not the 15K/mo Core cap) + re-ingestion of new packets; scenario-varied like Codex's UCM per-user API envelope (product/finance/ucm/BUILD_ESTIMATE.md)</t>
  </si>
  <si>
    <t>revenue.starting_logos</t>
  </si>
  <si>
    <t>paying cities</t>
  </si>
  <si>
    <t>~/Documents/Strata_Market_Research.docx (Researcher, 2026-08-29) §1: Schertz is a live demo/pilot city, not disclosed as paying — counted as $0 ARR at start | confirmed by joseleos 2026-08-30 15:23: Schertz has not committed to paying</t>
  </si>
  <si>
    <t>revenue.new_logos_monthly</t>
  </si>
  <si>
    <t>paying cities/month (month-1 rate)</t>
  </si>
  <si>
    <t>~/Documents/Strata_GTM_Strategy.docx (HermesX, 2026-08-29, draft pending sign-off) §8: 15 demos → 5 pilots → 1 paid contract by day 90; base 0.35/mo ≈ 5–6 paid cities in year 1</t>
  </si>
  <si>
    <t>revenue.new_logo_growth_monthly_pct</t>
  </si>
  <si>
    <t>ratio/month</t>
  </si>
  <si>
    <t>assumption: compounding from testimonials + TML pipeline; base 5%/mo ⇒ ≈34 paying cities cumulative by month 36 (≈15% of the ~230-city beachhead)</t>
  </si>
  <si>
    <t>revenue.monthly_logo_churn_pct</t>
  </si>
  <si>
    <t>assumption: public-sector SaaS gross logo retention typically 90–95%/yr (vendor-reported; no independent source yet) ⇒ 0.4–1.2%/mo</t>
  </si>
  <si>
    <t>revenue.acv</t>
  </si>
  <si>
    <t>USD/city/year</t>
  </si>
  <si>
    <t>~/Documents/Strata_GTM_Strategy.docx (HermesX, 2026-08-29, draft pending sign-off) §4 pricing table: Starter $3,600 / Core $9,600 / Growth $18,000; base = Core (beachhead tier), upside = Core-heavy mix with some Growth, downside = discounting to ~$600/mo</t>
  </si>
  <si>
    <t>revenue.annual_expansion_pct</t>
  </si>
  <si>
    <t>ratio/year</t>
  </si>
  <si>
    <t>~/Documents/Strata_GTM_Strategy.docx (HermesX, 2026-08-29, draft pending sign-off) §3.2: boards &amp; commissions add-on and tier upgrades as cities grow</t>
  </si>
  <si>
    <t>revenue.billing_terms_months</t>
  </si>
  <si>
    <t>months billed upfront</t>
  </si>
  <si>
    <t>~/Documents/Strata_Market_Research.docx (Researcher, 2026-08-29) §6: annual license; engine v1 recognizes ratably and does not yet model upfront cash (conservative)</t>
  </si>
  <si>
    <t>Metric</t>
  </si>
  <si>
    <t>Upside</t>
  </si>
  <si>
    <t>Downside</t>
  </si>
  <si>
    <t>total_revenue</t>
  </si>
  <si>
    <t>ending_cash</t>
  </si>
  <si>
    <t>capital_need_to_break_even</t>
  </si>
  <si>
    <t>break_even_month</t>
  </si>
  <si>
    <t>gross_margin_pct</t>
  </si>
  <si>
    <t>Month</t>
  </si>
  <si>
    <t>Active logos</t>
  </si>
  <si>
    <t>New logos</t>
  </si>
  <si>
    <t>Revenue</t>
  </si>
  <si>
    <t>COGS</t>
  </si>
  <si>
    <t>Gross profit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</si>
  <si>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</si>
  <si>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</si>
  <si>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</si>
  <si>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</si>
  <si>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</si>
  <si>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</si>
  <si>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</si>
  <si>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</si>
  <si>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</si>
  <si>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</si>
  <si>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</si>
  <si>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</si>
  <si>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</si>
  <si>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</si>
  <si>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2028-01</t>
  </si>
  <si>
    <t>2028-02</t>
  </si>
  <si>
    <t>2028-03</t>
  </si>
  <si>
    <t>2028-04</t>
  </si>
  <si>
    <t>2028-05</t>
  </si>
  <si>
    <t>2028-06</t>
  </si>
  <si>
    <t>2028-07</t>
  </si>
  <si>
    <t>2028-08</t>
  </si>
  <si>
    <t>2028-09</t>
  </si>
  <si>
    <t>Headcount</t>
  </si>
  <si>
    <t>Cash personnel</t>
  </si>
  <si>
    <t>Deferred founder comp</t>
  </si>
  <si>
    <t>Formation/legal</t>
  </si>
  <si>
    <t>G&amp;A / ops</t>
  </si>
  <si>
    <t>R&amp;D</t>
  </si>
  <si>
    <t>Sales &amp; marketing</t>
  </si>
  <si>
    <t>Total OpEx</t>
  </si>
  <si>
    <t>Personnel</t>
  </si>
  <si>
    <t>Other OpEx</t>
  </si>
  <si>
    <t>Operating income</t>
  </si>
  <si>
    <t>Beginning cash</t>
  </si>
  <si>
    <t>Financing</t>
  </si>
  <si>
    <t>Net cash flow</t>
  </si>
  <si>
    <t>Ending cash</t>
  </si>
  <si>
    <t>Selected scenario value</t>
  </si>
  <si>
    <t>Caveat</t>
  </si>
  <si>
    <t>Check</t>
  </si>
  <si>
    <t>Pass?</t>
  </si>
  <si>
    <t>Cash reconciliation</t>
  </si>
  <si>
    <t>Personnel reconciliation</t>
  </si>
  <si>
    <t>No null material assumptions</t>
  </si>
  <si>
    <t>Path</t>
  </si>
  <si>
    <t>Override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</si>
</sst>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;[Red]-$#,##0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color rgb="FF0000FF"/>
    </font>
    <font>
      <color rgb="FF000000"/>
    </font>
    <font>
      <color rgb="FF008000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20" customWidth="1"/>
    <col min="4" max="4" width="55" customWidth="1"/>
    <col min="5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4" x14ac:dyDescent="0.25">
      <c r="A2" t="s">
        <v>7</v>
      </c>
      <c r="B2" s="2" t="s">
        <v>8</v>
      </c>
      <c r="C2" t="s">
        <v>9</v>
      </c>
      <c r="D2" t="s">
        <v>10</v>
      </c>
    </row>
    <row r="3" spans="1:7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9</v>
      </c>
    </row>
    <row r="4" spans="1:6" x14ac:dyDescent="0.25">
      <c r="B4" s="2"/>
    </row>
    <row r="5" spans="1:7" x14ac:dyDescent="0.25">
      <c r="A5" t="s">
        <v>17</v>
      </c>
      <c r="B5" s="2" t="s">
        <v>18</v>
      </c>
      <c r="C5" t="s">
        <v>13</v>
      </c>
      <c r="D5" t="s">
        <v>14</v>
      </c>
      <c r="E5" t="s">
        <v>15</v>
      </c>
      <c r="F5" t="s">
        <v>16</v>
      </c>
      <c r="G5" t="s">
        <v>9</v>
      </c>
    </row>
    <row r="6" spans="1:7" x14ac:dyDescent="0.25">
      <c r="A6" t="s">
        <v>19</v>
      </c>
      <c r="B6" s="2" t="s">
        <v>20</v>
      </c>
      <c r="C6" t="s">
        <v>21</v>
      </c>
      <c r="D6" t="s">
        <v>22</v>
      </c>
      <c r="E6" t="s">
        <v>15</v>
      </c>
      <c r="F6" t="s">
        <v>16</v>
      </c>
      <c r="G6" t="s">
        <v>9</v>
      </c>
    </row>
    <row r="7" spans="1:7" x14ac:dyDescent="0.25">
      <c r="A7" t="s">
        <v>23</v>
      </c>
      <c r="B7" s="2" t="s">
        <v>24</v>
      </c>
      <c r="C7" t="s">
        <v>25</v>
      </c>
      <c r="D7" t="s">
        <v>26</v>
      </c>
      <c r="E7" t="s">
        <v>15</v>
      </c>
      <c r="F7" t="s">
        <v>27</v>
      </c>
      <c r="G7" t="s">
        <v>9</v>
      </c>
    </row>
    <row r="8" spans="1:7" x14ac:dyDescent="0.25">
      <c r="A8" t="s">
        <v>28</v>
      </c>
      <c r="B8" s="3">
        <v>36</v>
      </c>
      <c r="C8" t="s">
        <v>29</v>
      </c>
      <c r="D8" t="s">
        <v>30</v>
      </c>
      <c r="E8" t="s">
        <v>15</v>
      </c>
      <c r="F8" t="s">
        <v>27</v>
      </c>
      <c r="G8" t="s">
        <v>9</v>
      </c>
    </row>
    <row r="9" spans="1:7" x14ac:dyDescent="0.25">
      <c r="A9" t="s">
        <v>31</v>
      </c>
      <c r="B9" s="3">
        <v>10000</v>
      </c>
      <c r="C9" t="s">
        <v>20</v>
      </c>
      <c r="D9" t="s">
        <v>32</v>
      </c>
      <c r="E9" t="s">
        <v>15</v>
      </c>
      <c r="F9" t="s">
        <v>33</v>
      </c>
      <c r="G9" t="s">
        <v>9</v>
      </c>
    </row>
    <row r="10" spans="1:7" x14ac:dyDescent="0.25">
      <c r="A10" t="s">
        <v>34</v>
      </c>
      <c r="B10" s="2" t="s">
        <v>35</v>
      </c>
      <c r="C10" t="s">
        <v>13</v>
      </c>
      <c r="D10" t="s">
        <v>36</v>
      </c>
      <c r="E10" t="s">
        <v>15</v>
      </c>
      <c r="F10" t="s">
        <v>27</v>
      </c>
      <c r="G10" t="s">
        <v>9</v>
      </c>
    </row>
    <row r="11" spans="1:7" x14ac:dyDescent="0.25">
      <c r="A11" t="s">
        <v>37</v>
      </c>
      <c r="B11" s="3">
        <v>800</v>
      </c>
      <c r="C11" t="s">
        <v>20</v>
      </c>
      <c r="D11" t="s">
        <v>38</v>
      </c>
      <c r="E11" t="s">
        <v>15</v>
      </c>
      <c r="F11" t="s">
        <v>27</v>
      </c>
      <c r="G11" t="s">
        <v>9</v>
      </c>
    </row>
    <row r="12" spans="1:7" x14ac:dyDescent="0.25">
      <c r="A12" t="s">
        <v>39</v>
      </c>
      <c r="B12" s="2" t="s">
        <v>40</v>
      </c>
      <c r="C12" t="s">
        <v>41</v>
      </c>
      <c r="D12" t="s">
        <v>42</v>
      </c>
      <c r="E12" t="s">
        <v>15</v>
      </c>
      <c r="F12" t="s">
        <v>16</v>
      </c>
      <c r="G12" t="s">
        <v>9</v>
      </c>
    </row>
    <row r="13" spans="1:7" x14ac:dyDescent="0.25">
      <c r="A13" t="s">
        <v>43</v>
      </c>
      <c r="B13" s="3">
        <v>1</v>
      </c>
      <c r="C13" t="s">
        <v>44</v>
      </c>
      <c r="D13" t="s">
        <v>42</v>
      </c>
      <c r="E13" t="s">
        <v>15</v>
      </c>
      <c r="F13" t="s">
        <v>27</v>
      </c>
      <c r="G13" t="s">
        <v>9</v>
      </c>
    </row>
    <row r="14" spans="1:7" x14ac:dyDescent="0.25">
      <c r="A14" t="s">
        <v>45</v>
      </c>
      <c r="B14" s="3">
        <v>1</v>
      </c>
      <c r="C14" t="s">
        <v>44</v>
      </c>
      <c r="D14" t="s">
        <v>42</v>
      </c>
      <c r="E14" t="s">
        <v>15</v>
      </c>
      <c r="F14" t="s">
        <v>27</v>
      </c>
      <c r="G14" t="s">
        <v>9</v>
      </c>
    </row>
    <row r="15" spans="1:7" x14ac:dyDescent="0.25">
      <c r="A15" t="s">
        <v>46</v>
      </c>
      <c r="B15" s="2" t="s">
        <v>47</v>
      </c>
      <c r="C15" t="s">
        <v>13</v>
      </c>
      <c r="D15" t="s">
        <v>48</v>
      </c>
      <c r="E15" t="s">
        <v>15</v>
      </c>
      <c r="F15" t="s">
        <v>27</v>
      </c>
      <c r="G15" t="s">
        <v>9</v>
      </c>
    </row>
    <row r="16" spans="1:7" x14ac:dyDescent="0.25">
      <c r="A16" t="s">
        <v>49</v>
      </c>
      <c r="B16" s="3">
        <v>150</v>
      </c>
      <c r="C16" t="s">
        <v>20</v>
      </c>
      <c r="D16" t="s">
        <v>50</v>
      </c>
      <c r="E16" t="s">
        <v>15</v>
      </c>
      <c r="F16" t="s">
        <v>27</v>
      </c>
      <c r="G16" t="s">
        <v>9</v>
      </c>
    </row>
    <row r="17" spans="1:7" x14ac:dyDescent="0.25">
      <c r="A17" t="s">
        <v>51</v>
      </c>
      <c r="B17" s="2" t="s">
        <v>52</v>
      </c>
      <c r="C17" t="s">
        <v>41</v>
      </c>
      <c r="D17" t="s">
        <v>48</v>
      </c>
      <c r="E17" t="s">
        <v>15</v>
      </c>
      <c r="F17" t="s">
        <v>16</v>
      </c>
      <c r="G17" t="s">
        <v>9</v>
      </c>
    </row>
    <row r="18" spans="1:7" x14ac:dyDescent="0.25">
      <c r="A18" t="s">
        <v>53</v>
      </c>
      <c r="B18" s="3">
        <v>1</v>
      </c>
      <c r="C18" t="s">
        <v>44</v>
      </c>
      <c r="D18" t="s">
        <v>48</v>
      </c>
      <c r="E18" t="s">
        <v>15</v>
      </c>
      <c r="F18" t="s">
        <v>27</v>
      </c>
      <c r="G18" t="s">
        <v>9</v>
      </c>
    </row>
    <row r="19" spans="1:7" x14ac:dyDescent="0.25">
      <c r="A19" t="s">
        <v>54</v>
      </c>
      <c r="B19" s="3">
        <v>36</v>
      </c>
      <c r="C19" t="s">
        <v>44</v>
      </c>
      <c r="D19" t="s">
        <v>48</v>
      </c>
      <c r="E19" t="s">
        <v>15</v>
      </c>
      <c r="F19" t="s">
        <v>27</v>
      </c>
      <c r="G19" t="s">
        <v>9</v>
      </c>
    </row>
    <row r="20" spans="1:7" x14ac:dyDescent="0.25">
      <c r="A20" t="s">
        <v>55</v>
      </c>
      <c r="B20" s="2" t="s">
        <v>56</v>
      </c>
      <c r="C20" t="s">
        <v>13</v>
      </c>
      <c r="D20" t="s">
        <v>57</v>
      </c>
      <c r="E20" t="s">
        <v>15</v>
      </c>
      <c r="F20" t="s">
        <v>16</v>
      </c>
      <c r="G20" t="s">
        <v>9</v>
      </c>
    </row>
    <row r="21" spans="1:7" x14ac:dyDescent="0.25">
      <c r="A21" t="s">
        <v>58</v>
      </c>
      <c r="B21" s="3">
        <v>450</v>
      </c>
      <c r="C21" t="s">
        <v>20</v>
      </c>
      <c r="D21" t="s">
        <v>59</v>
      </c>
      <c r="E21" t="s">
        <v>15</v>
      </c>
      <c r="F21" t="s">
        <v>16</v>
      </c>
      <c r="G21" t="s">
        <v>9</v>
      </c>
    </row>
    <row r="22" spans="1:7" x14ac:dyDescent="0.25">
      <c r="A22" t="s">
        <v>60</v>
      </c>
      <c r="B22" s="2" t="s">
        <v>52</v>
      </c>
      <c r="C22" t="s">
        <v>41</v>
      </c>
      <c r="D22" t="s">
        <v>57</v>
      </c>
      <c r="E22" t="s">
        <v>15</v>
      </c>
      <c r="F22" t="s">
        <v>16</v>
      </c>
      <c r="G22" t="s">
        <v>9</v>
      </c>
    </row>
    <row r="23" spans="1:7" x14ac:dyDescent="0.25">
      <c r="A23" t="s">
        <v>61</v>
      </c>
      <c r="B23" s="3">
        <v>6</v>
      </c>
      <c r="C23" t="s">
        <v>44</v>
      </c>
      <c r="D23" t="s">
        <v>57</v>
      </c>
      <c r="E23" t="s">
        <v>15</v>
      </c>
      <c r="F23" t="s">
        <v>16</v>
      </c>
      <c r="G23" t="s">
        <v>9</v>
      </c>
    </row>
    <row r="24" spans="1:7" x14ac:dyDescent="0.25">
      <c r="A24" t="s">
        <v>62</v>
      </c>
      <c r="B24" s="3">
        <v>36</v>
      </c>
      <c r="C24" t="s">
        <v>44</v>
      </c>
      <c r="D24" t="s">
        <v>57</v>
      </c>
      <c r="E24" t="s">
        <v>15</v>
      </c>
      <c r="F24" t="s">
        <v>16</v>
      </c>
      <c r="G24" t="s">
        <v>9</v>
      </c>
    </row>
    <row r="25" spans="1:7" x14ac:dyDescent="0.25">
      <c r="A25" t="s">
        <v>63</v>
      </c>
      <c r="B25" s="2" t="s">
        <v>64</v>
      </c>
      <c r="C25" t="s">
        <v>13</v>
      </c>
      <c r="D25" t="s">
        <v>65</v>
      </c>
      <c r="E25" t="s">
        <v>15</v>
      </c>
      <c r="F25" t="s">
        <v>16</v>
      </c>
      <c r="G25" t="s">
        <v>9</v>
      </c>
    </row>
    <row r="26" spans="1:7" x14ac:dyDescent="0.25">
      <c r="A26" t="s">
        <v>66</v>
      </c>
      <c r="B26" s="3">
        <v>750</v>
      </c>
      <c r="C26" t="s">
        <v>20</v>
      </c>
      <c r="D26" t="s">
        <v>67</v>
      </c>
      <c r="E26" t="s">
        <v>15</v>
      </c>
      <c r="F26" t="s">
        <v>16</v>
      </c>
      <c r="G26" t="s">
        <v>9</v>
      </c>
    </row>
    <row r="27" spans="1:7" x14ac:dyDescent="0.25">
      <c r="A27" t="s">
        <v>68</v>
      </c>
      <c r="B27" s="2" t="s">
        <v>40</v>
      </c>
      <c r="C27" t="s">
        <v>41</v>
      </c>
      <c r="D27" t="s">
        <v>65</v>
      </c>
      <c r="E27" t="s">
        <v>15</v>
      </c>
      <c r="F27" t="s">
        <v>16</v>
      </c>
      <c r="G27" t="s">
        <v>9</v>
      </c>
    </row>
    <row r="28" spans="1:7" x14ac:dyDescent="0.25">
      <c r="A28" t="s">
        <v>69</v>
      </c>
      <c r="B28" s="3">
        <v>1</v>
      </c>
      <c r="C28" t="s">
        <v>44</v>
      </c>
      <c r="D28" t="s">
        <v>65</v>
      </c>
      <c r="E28" t="s">
        <v>15</v>
      </c>
      <c r="F28" t="s">
        <v>16</v>
      </c>
      <c r="G28" t="s">
        <v>9</v>
      </c>
    </row>
    <row r="29" spans="1:7" x14ac:dyDescent="0.25">
      <c r="A29" t="s">
        <v>70</v>
      </c>
      <c r="B29" s="3">
        <v>1</v>
      </c>
      <c r="C29" t="s">
        <v>44</v>
      </c>
      <c r="D29" t="s">
        <v>65</v>
      </c>
      <c r="E29" t="s">
        <v>15</v>
      </c>
      <c r="F29" t="s">
        <v>16</v>
      </c>
      <c r="G29" t="s">
        <v>9</v>
      </c>
    </row>
    <row r="30" spans="1:7" x14ac:dyDescent="0.25">
      <c r="A30" t="s">
        <v>71</v>
      </c>
      <c r="B30" s="2" t="s">
        <v>72</v>
      </c>
      <c r="C30" t="s">
        <v>13</v>
      </c>
      <c r="D30" t="s">
        <v>73</v>
      </c>
      <c r="E30" t="s">
        <v>15</v>
      </c>
      <c r="F30" t="s">
        <v>33</v>
      </c>
      <c r="G30" t="s">
        <v>9</v>
      </c>
    </row>
    <row r="31" spans="1:7" x14ac:dyDescent="0.25">
      <c r="A31" t="s">
        <v>74</v>
      </c>
      <c r="B31" s="3">
        <v>2500</v>
      </c>
      <c r="C31" t="s">
        <v>20</v>
      </c>
      <c r="D31" t="s">
        <v>73</v>
      </c>
      <c r="E31" t="s">
        <v>15</v>
      </c>
      <c r="F31" t="s">
        <v>33</v>
      </c>
      <c r="G31" t="s">
        <v>9</v>
      </c>
    </row>
    <row r="32" spans="1:7" x14ac:dyDescent="0.25">
      <c r="A32" t="s">
        <v>75</v>
      </c>
      <c r="B32" s="2" t="s">
        <v>40</v>
      </c>
      <c r="C32" t="s">
        <v>41</v>
      </c>
      <c r="D32" t="s">
        <v>73</v>
      </c>
      <c r="E32" t="s">
        <v>15</v>
      </c>
      <c r="F32" t="s">
        <v>16</v>
      </c>
      <c r="G32" t="s">
        <v>9</v>
      </c>
    </row>
    <row r="33" spans="1:7" x14ac:dyDescent="0.25">
      <c r="A33" t="s">
        <v>76</v>
      </c>
      <c r="B33" s="3">
        <v>1</v>
      </c>
      <c r="C33" t="s">
        <v>44</v>
      </c>
      <c r="D33" t="s">
        <v>73</v>
      </c>
      <c r="E33" t="s">
        <v>15</v>
      </c>
      <c r="F33" t="s">
        <v>33</v>
      </c>
      <c r="G33" t="s">
        <v>9</v>
      </c>
    </row>
    <row r="34" spans="1:7" x14ac:dyDescent="0.25">
      <c r="A34" t="s">
        <v>77</v>
      </c>
      <c r="B34" s="3">
        <v>1</v>
      </c>
      <c r="C34" t="s">
        <v>44</v>
      </c>
      <c r="D34" t="s">
        <v>73</v>
      </c>
      <c r="E34" t="s">
        <v>15</v>
      </c>
      <c r="F34" t="s">
        <v>33</v>
      </c>
      <c r="G34" t="s">
        <v>9</v>
      </c>
    </row>
    <row r="35" spans="1:7" x14ac:dyDescent="0.25">
      <c r="A35" t="s">
        <v>78</v>
      </c>
      <c r="B35" s="2" t="s">
        <v>79</v>
      </c>
      <c r="C35" t="s">
        <v>13</v>
      </c>
      <c r="D35" t="s">
        <v>80</v>
      </c>
      <c r="E35" t="s">
        <v>15</v>
      </c>
      <c r="F35" t="s">
        <v>27</v>
      </c>
      <c r="G35" t="s">
        <v>9</v>
      </c>
    </row>
    <row r="36" spans="1:7" x14ac:dyDescent="0.25">
      <c r="A36" t="s">
        <v>81</v>
      </c>
      <c r="B36" s="3">
        <v>1350</v>
      </c>
      <c r="C36" t="s">
        <v>20</v>
      </c>
      <c r="D36" t="s">
        <v>80</v>
      </c>
      <c r="E36" t="s">
        <v>15</v>
      </c>
      <c r="F36" t="s">
        <v>27</v>
      </c>
      <c r="G36" t="s">
        <v>9</v>
      </c>
    </row>
    <row r="37" spans="1:7" x14ac:dyDescent="0.25">
      <c r="A37" t="s">
        <v>82</v>
      </c>
      <c r="B37" s="2" t="s">
        <v>40</v>
      </c>
      <c r="C37" t="s">
        <v>41</v>
      </c>
      <c r="D37" t="s">
        <v>80</v>
      </c>
      <c r="E37" t="s">
        <v>15</v>
      </c>
      <c r="F37" t="s">
        <v>16</v>
      </c>
      <c r="G37" t="s">
        <v>9</v>
      </c>
    </row>
    <row r="38" spans="1:7" x14ac:dyDescent="0.25">
      <c r="A38" t="s">
        <v>83</v>
      </c>
      <c r="B38" s="3">
        <v>6</v>
      </c>
      <c r="C38" t="s">
        <v>44</v>
      </c>
      <c r="D38" t="s">
        <v>80</v>
      </c>
      <c r="E38" t="s">
        <v>15</v>
      </c>
      <c r="F38" t="s">
        <v>27</v>
      </c>
      <c r="G38" t="s">
        <v>9</v>
      </c>
    </row>
    <row r="39" spans="1:7" x14ac:dyDescent="0.25">
      <c r="A39" t="s">
        <v>84</v>
      </c>
      <c r="B39" s="3">
        <v>6</v>
      </c>
      <c r="C39" t="s">
        <v>44</v>
      </c>
      <c r="D39" t="s">
        <v>80</v>
      </c>
      <c r="E39" t="s">
        <v>15</v>
      </c>
      <c r="F39" t="s">
        <v>27</v>
      </c>
      <c r="G39" t="s">
        <v>9</v>
      </c>
    </row>
    <row r="40" spans="1:7" x14ac:dyDescent="0.25">
      <c r="A40" t="s">
        <v>85</v>
      </c>
      <c r="B40" s="2" t="s">
        <v>86</v>
      </c>
      <c r="C40" t="s">
        <v>13</v>
      </c>
      <c r="D40" t="s">
        <v>87</v>
      </c>
      <c r="E40" t="s">
        <v>15</v>
      </c>
      <c r="F40" t="s">
        <v>16</v>
      </c>
      <c r="G40" t="s">
        <v>9</v>
      </c>
    </row>
    <row r="41" spans="1:7" x14ac:dyDescent="0.25">
      <c r="A41" t="s">
        <v>88</v>
      </c>
      <c r="B41" s="3">
        <v>0</v>
      </c>
      <c r="C41" t="s">
        <v>20</v>
      </c>
      <c r="D41" t="s">
        <v>87</v>
      </c>
      <c r="E41" t="s">
        <v>15</v>
      </c>
      <c r="F41" t="s">
        <v>16</v>
      </c>
      <c r="G41" t="s">
        <v>9</v>
      </c>
    </row>
    <row r="42" spans="1:7" x14ac:dyDescent="0.25">
      <c r="A42" t="s">
        <v>89</v>
      </c>
      <c r="B42" s="2" t="s">
        <v>40</v>
      </c>
      <c r="C42" t="s">
        <v>41</v>
      </c>
      <c r="D42" t="s">
        <v>87</v>
      </c>
      <c r="E42" t="s">
        <v>15</v>
      </c>
      <c r="F42" t="s">
        <v>16</v>
      </c>
      <c r="G42" t="s">
        <v>9</v>
      </c>
    </row>
    <row r="43" spans="1:7" x14ac:dyDescent="0.25">
      <c r="A43" t="s">
        <v>90</v>
      </c>
      <c r="B43" s="3">
        <v>1</v>
      </c>
      <c r="C43" t="s">
        <v>44</v>
      </c>
      <c r="D43" t="s">
        <v>87</v>
      </c>
      <c r="E43" t="s">
        <v>15</v>
      </c>
      <c r="F43" t="s">
        <v>16</v>
      </c>
      <c r="G43" t="s">
        <v>9</v>
      </c>
    </row>
    <row r="44" spans="1:7" x14ac:dyDescent="0.25">
      <c r="A44" t="s">
        <v>91</v>
      </c>
      <c r="B44" s="3">
        <v>1</v>
      </c>
      <c r="C44" t="s">
        <v>44</v>
      </c>
      <c r="D44" t="s">
        <v>87</v>
      </c>
      <c r="E44" t="s">
        <v>15</v>
      </c>
      <c r="F44" t="s">
        <v>16</v>
      </c>
      <c r="G44" t="s">
        <v>9</v>
      </c>
    </row>
    <row r="45" spans="1:7" x14ac:dyDescent="0.25">
      <c r="A45" t="s">
        <v>92</v>
      </c>
      <c r="B45" s="2" t="s">
        <v>93</v>
      </c>
      <c r="C45" t="s">
        <v>13</v>
      </c>
      <c r="D45" t="s">
        <v>94</v>
      </c>
      <c r="E45" t="s">
        <v>15</v>
      </c>
      <c r="F45" t="s">
        <v>27</v>
      </c>
      <c r="G45" t="s">
        <v>9</v>
      </c>
    </row>
    <row r="46" spans="1:7" x14ac:dyDescent="0.25">
      <c r="A46" t="s">
        <v>95</v>
      </c>
      <c r="B46" s="3">
        <v>300</v>
      </c>
      <c r="C46" t="s">
        <v>20</v>
      </c>
      <c r="D46" t="s">
        <v>94</v>
      </c>
      <c r="E46" t="s">
        <v>15</v>
      </c>
      <c r="F46" t="s">
        <v>27</v>
      </c>
      <c r="G46" t="s">
        <v>9</v>
      </c>
    </row>
    <row r="47" spans="1:7" x14ac:dyDescent="0.25">
      <c r="A47" t="s">
        <v>96</v>
      </c>
      <c r="B47" s="2" t="s">
        <v>97</v>
      </c>
      <c r="C47" t="s">
        <v>41</v>
      </c>
      <c r="D47" t="s">
        <v>94</v>
      </c>
      <c r="E47" t="s">
        <v>15</v>
      </c>
      <c r="F47" t="s">
        <v>16</v>
      </c>
      <c r="G47" t="s">
        <v>9</v>
      </c>
    </row>
    <row r="48" spans="1:7" x14ac:dyDescent="0.25">
      <c r="A48" t="s">
        <v>98</v>
      </c>
      <c r="B48" s="3">
        <v>1</v>
      </c>
      <c r="C48" t="s">
        <v>44</v>
      </c>
      <c r="D48" t="s">
        <v>94</v>
      </c>
      <c r="E48" t="s">
        <v>15</v>
      </c>
      <c r="F48" t="s">
        <v>27</v>
      </c>
      <c r="G48" t="s">
        <v>9</v>
      </c>
    </row>
    <row r="49" spans="1:7" x14ac:dyDescent="0.25">
      <c r="A49" t="s">
        <v>99</v>
      </c>
      <c r="B49" s="3">
        <v>36</v>
      </c>
      <c r="C49" t="s">
        <v>44</v>
      </c>
      <c r="D49" t="s">
        <v>94</v>
      </c>
      <c r="E49" t="s">
        <v>15</v>
      </c>
      <c r="F49" t="s">
        <v>27</v>
      </c>
      <c r="G49" t="s">
        <v>9</v>
      </c>
    </row>
    <row r="50" spans="1:7" x14ac:dyDescent="0.25">
      <c r="A50" t="s">
        <v>100</v>
      </c>
      <c r="B50" s="2" t="s">
        <v>101</v>
      </c>
      <c r="C50" t="s">
        <v>13</v>
      </c>
      <c r="D50" t="s">
        <v>102</v>
      </c>
      <c r="E50" t="s">
        <v>15</v>
      </c>
      <c r="F50" t="s">
        <v>27</v>
      </c>
      <c r="G50" t="s">
        <v>9</v>
      </c>
    </row>
    <row r="51" spans="1:7" x14ac:dyDescent="0.25">
      <c r="A51" t="s">
        <v>103</v>
      </c>
      <c r="B51" s="3">
        <v>2000</v>
      </c>
      <c r="C51" t="s">
        <v>20</v>
      </c>
      <c r="D51" t="s">
        <v>102</v>
      </c>
      <c r="E51" t="s">
        <v>15</v>
      </c>
      <c r="F51" t="s">
        <v>27</v>
      </c>
      <c r="G51" t="s">
        <v>9</v>
      </c>
    </row>
    <row r="52" spans="1:7" x14ac:dyDescent="0.25">
      <c r="A52" t="s">
        <v>104</v>
      </c>
      <c r="B52" s="2" t="s">
        <v>52</v>
      </c>
      <c r="C52" t="s">
        <v>41</v>
      </c>
      <c r="D52" t="s">
        <v>102</v>
      </c>
      <c r="E52" t="s">
        <v>15</v>
      </c>
      <c r="F52" t="s">
        <v>16</v>
      </c>
      <c r="G52" t="s">
        <v>9</v>
      </c>
    </row>
    <row r="53" spans="1:7" x14ac:dyDescent="0.25">
      <c r="A53" t="s">
        <v>105</v>
      </c>
      <c r="B53" s="3">
        <v>12</v>
      </c>
      <c r="C53" t="s">
        <v>44</v>
      </c>
      <c r="D53" t="s">
        <v>102</v>
      </c>
      <c r="E53" t="s">
        <v>15</v>
      </c>
      <c r="F53" t="s">
        <v>27</v>
      </c>
      <c r="G53" t="s">
        <v>9</v>
      </c>
    </row>
    <row r="54" spans="1:7" x14ac:dyDescent="0.25">
      <c r="A54" t="s">
        <v>106</v>
      </c>
      <c r="B54" s="3">
        <v>36</v>
      </c>
      <c r="C54" t="s">
        <v>44</v>
      </c>
      <c r="D54" t="s">
        <v>102</v>
      </c>
      <c r="E54" t="s">
        <v>15</v>
      </c>
      <c r="F54" t="s">
        <v>27</v>
      </c>
      <c r="G54" t="s">
        <v>9</v>
      </c>
    </row>
    <row r="55" spans="1:7" x14ac:dyDescent="0.25">
      <c r="A55" t="s">
        <v>107</v>
      </c>
      <c r="B55" s="2" t="s">
        <v>108</v>
      </c>
      <c r="C55" t="s">
        <v>13</v>
      </c>
      <c r="D55" t="s">
        <v>109</v>
      </c>
      <c r="E55" t="s">
        <v>15</v>
      </c>
      <c r="F55" t="s">
        <v>33</v>
      </c>
      <c r="G55" t="s">
        <v>9</v>
      </c>
    </row>
    <row r="56" spans="1:7" x14ac:dyDescent="0.25">
      <c r="A56" t="s">
        <v>110</v>
      </c>
      <c r="B56" s="3">
        <v>3600</v>
      </c>
      <c r="C56" t="s">
        <v>20</v>
      </c>
      <c r="D56" t="s">
        <v>109</v>
      </c>
      <c r="E56" t="s">
        <v>15</v>
      </c>
      <c r="F56" t="s">
        <v>33</v>
      </c>
      <c r="G56" t="s">
        <v>9</v>
      </c>
    </row>
    <row r="57" spans="1:7" x14ac:dyDescent="0.25">
      <c r="A57" t="s">
        <v>111</v>
      </c>
      <c r="B57" s="2" t="s">
        <v>52</v>
      </c>
      <c r="C57" t="s">
        <v>41</v>
      </c>
      <c r="D57" t="s">
        <v>109</v>
      </c>
      <c r="E57" t="s">
        <v>15</v>
      </c>
      <c r="F57" t="s">
        <v>16</v>
      </c>
      <c r="G57" t="s">
        <v>9</v>
      </c>
    </row>
    <row r="58" spans="1:7" x14ac:dyDescent="0.25">
      <c r="A58" t="s">
        <v>112</v>
      </c>
      <c r="B58" s="3">
        <v>1</v>
      </c>
      <c r="C58" t="s">
        <v>44</v>
      </c>
      <c r="D58" t="s">
        <v>109</v>
      </c>
      <c r="E58" t="s">
        <v>15</v>
      </c>
      <c r="F58" t="s">
        <v>33</v>
      </c>
      <c r="G58" t="s">
        <v>9</v>
      </c>
    </row>
    <row r="59" spans="1:7" x14ac:dyDescent="0.25">
      <c r="A59" t="s">
        <v>113</v>
      </c>
      <c r="B59" s="3">
        <v>36</v>
      </c>
      <c r="C59" t="s">
        <v>44</v>
      </c>
      <c r="D59" t="s">
        <v>109</v>
      </c>
      <c r="E59" t="s">
        <v>15</v>
      </c>
      <c r="F59" t="s">
        <v>33</v>
      </c>
      <c r="G59" t="s">
        <v>9</v>
      </c>
    </row>
    <row r="60" spans="1:7" x14ac:dyDescent="0.25">
      <c r="A60" t="s">
        <v>114</v>
      </c>
      <c r="B60" s="2" t="s">
        <v>115</v>
      </c>
      <c r="C60" t="s">
        <v>13</v>
      </c>
      <c r="D60" t="s">
        <v>116</v>
      </c>
      <c r="E60" t="s">
        <v>15</v>
      </c>
      <c r="F60" t="s">
        <v>27</v>
      </c>
      <c r="G60" t="s">
        <v>9</v>
      </c>
    </row>
    <row r="61" spans="1:7" x14ac:dyDescent="0.25">
      <c r="A61" t="s">
        <v>117</v>
      </c>
      <c r="B61" s="3">
        <v>120</v>
      </c>
      <c r="C61" t="s">
        <v>20</v>
      </c>
      <c r="D61" t="s">
        <v>116</v>
      </c>
      <c r="E61" t="s">
        <v>15</v>
      </c>
      <c r="F61" t="s">
        <v>27</v>
      </c>
      <c r="G61" t="s">
        <v>9</v>
      </c>
    </row>
    <row r="62" spans="1:7" x14ac:dyDescent="0.25">
      <c r="A62" t="s">
        <v>118</v>
      </c>
      <c r="B62" s="2" t="s">
        <v>97</v>
      </c>
      <c r="C62" t="s">
        <v>41</v>
      </c>
      <c r="D62" t="s">
        <v>116</v>
      </c>
      <c r="E62" t="s">
        <v>15</v>
      </c>
      <c r="F62" t="s">
        <v>16</v>
      </c>
      <c r="G62" t="s">
        <v>9</v>
      </c>
    </row>
    <row r="63" spans="1:7" x14ac:dyDescent="0.25">
      <c r="A63" t="s">
        <v>119</v>
      </c>
      <c r="B63" s="3">
        <v>1</v>
      </c>
      <c r="C63" t="s">
        <v>44</v>
      </c>
      <c r="D63" t="s">
        <v>116</v>
      </c>
      <c r="E63" t="s">
        <v>15</v>
      </c>
      <c r="F63" t="s">
        <v>27</v>
      </c>
      <c r="G63" t="s">
        <v>9</v>
      </c>
    </row>
    <row r="64" spans="1:7" x14ac:dyDescent="0.25">
      <c r="A64" t="s">
        <v>120</v>
      </c>
      <c r="B64" s="3">
        <v>36</v>
      </c>
      <c r="C64" t="s">
        <v>44</v>
      </c>
      <c r="D64" t="s">
        <v>116</v>
      </c>
      <c r="E64" t="s">
        <v>15</v>
      </c>
      <c r="F64" t="s">
        <v>27</v>
      </c>
      <c r="G64" t="s">
        <v>9</v>
      </c>
    </row>
    <row r="65" spans="1:7" x14ac:dyDescent="0.25">
      <c r="A65" t="s">
        <v>121</v>
      </c>
      <c r="B65" s="2" t="s">
        <v>122</v>
      </c>
      <c r="C65" t="s">
        <v>13</v>
      </c>
      <c r="D65" t="s">
        <v>123</v>
      </c>
      <c r="E65" t="s">
        <v>15</v>
      </c>
      <c r="F65" t="s">
        <v>16</v>
      </c>
      <c r="G65" t="s">
        <v>9</v>
      </c>
    </row>
    <row r="66" spans="1:7" x14ac:dyDescent="0.25">
      <c r="A66" t="s">
        <v>124</v>
      </c>
      <c r="B66" s="3">
        <v>60</v>
      </c>
      <c r="C66" t="s">
        <v>20</v>
      </c>
      <c r="D66" t="s">
        <v>123</v>
      </c>
      <c r="E66" t="s">
        <v>15</v>
      </c>
      <c r="F66" t="s">
        <v>16</v>
      </c>
      <c r="G66" t="s">
        <v>9</v>
      </c>
    </row>
    <row r="67" spans="1:7" x14ac:dyDescent="0.25">
      <c r="A67" t="s">
        <v>125</v>
      </c>
      <c r="B67" s="2" t="s">
        <v>97</v>
      </c>
      <c r="C67" t="s">
        <v>41</v>
      </c>
      <c r="D67" t="s">
        <v>123</v>
      </c>
      <c r="E67" t="s">
        <v>15</v>
      </c>
      <c r="F67" t="s">
        <v>16</v>
      </c>
      <c r="G67" t="s">
        <v>9</v>
      </c>
    </row>
    <row r="68" spans="1:7" x14ac:dyDescent="0.25">
      <c r="A68" t="s">
        <v>126</v>
      </c>
      <c r="B68" s="3">
        <v>28</v>
      </c>
      <c r="C68" t="s">
        <v>44</v>
      </c>
      <c r="D68" t="s">
        <v>123</v>
      </c>
      <c r="E68" t="s">
        <v>15</v>
      </c>
      <c r="F68" t="s">
        <v>16</v>
      </c>
      <c r="G68" t="s">
        <v>9</v>
      </c>
    </row>
    <row r="69" spans="1:7" x14ac:dyDescent="0.25">
      <c r="A69" t="s">
        <v>127</v>
      </c>
      <c r="B69" s="3">
        <v>36</v>
      </c>
      <c r="C69" t="s">
        <v>44</v>
      </c>
      <c r="D69" t="s">
        <v>123</v>
      </c>
      <c r="E69" t="s">
        <v>15</v>
      </c>
      <c r="F69" t="s">
        <v>16</v>
      </c>
      <c r="G69" t="s">
        <v>9</v>
      </c>
    </row>
    <row r="70" spans="1:7" x14ac:dyDescent="0.25">
      <c r="A70" t="s">
        <v>128</v>
      </c>
      <c r="B70" s="2" t="s">
        <v>129</v>
      </c>
      <c r="C70" t="s">
        <v>13</v>
      </c>
      <c r="D70" t="s">
        <v>130</v>
      </c>
      <c r="E70" t="s">
        <v>15</v>
      </c>
      <c r="F70" t="s">
        <v>16</v>
      </c>
      <c r="G70" t="s">
        <v>9</v>
      </c>
    </row>
    <row r="71" spans="1:7" x14ac:dyDescent="0.25">
      <c r="A71" t="s">
        <v>131</v>
      </c>
      <c r="B71" s="3">
        <v>0</v>
      </c>
      <c r="C71" t="s">
        <v>20</v>
      </c>
      <c r="D71" t="s">
        <v>130</v>
      </c>
      <c r="E71" t="s">
        <v>15</v>
      </c>
      <c r="F71" t="s">
        <v>16</v>
      </c>
      <c r="G71" t="s">
        <v>9</v>
      </c>
    </row>
    <row r="72" spans="1:7" x14ac:dyDescent="0.25">
      <c r="A72" t="s">
        <v>132</v>
      </c>
      <c r="B72" s="2" t="s">
        <v>97</v>
      </c>
      <c r="C72" t="s">
        <v>41</v>
      </c>
      <c r="D72" t="s">
        <v>130</v>
      </c>
      <c r="E72" t="s">
        <v>15</v>
      </c>
      <c r="F72" t="s">
        <v>16</v>
      </c>
      <c r="G72" t="s">
        <v>9</v>
      </c>
    </row>
    <row r="73" spans="1:7" x14ac:dyDescent="0.25">
      <c r="A73" t="s">
        <v>133</v>
      </c>
      <c r="B73" s="3">
        <v>1</v>
      </c>
      <c r="C73" t="s">
        <v>44</v>
      </c>
      <c r="D73" t="s">
        <v>130</v>
      </c>
      <c r="E73" t="s">
        <v>15</v>
      </c>
      <c r="F73" t="s">
        <v>16</v>
      </c>
      <c r="G73" t="s">
        <v>9</v>
      </c>
    </row>
    <row r="74" spans="1:7" x14ac:dyDescent="0.25">
      <c r="A74" t="s">
        <v>134</v>
      </c>
      <c r="B74" s="3">
        <v>36</v>
      </c>
      <c r="C74" t="s">
        <v>44</v>
      </c>
      <c r="D74" t="s">
        <v>130</v>
      </c>
      <c r="E74" t="s">
        <v>15</v>
      </c>
      <c r="F74" t="s">
        <v>16</v>
      </c>
      <c r="G74" t="s">
        <v>9</v>
      </c>
    </row>
    <row r="75" spans="1:7" x14ac:dyDescent="0.25">
      <c r="A75" t="s">
        <v>135</v>
      </c>
      <c r="B75" s="2" t="s">
        <v>136</v>
      </c>
      <c r="C75" t="s">
        <v>13</v>
      </c>
      <c r="D75" t="s">
        <v>137</v>
      </c>
      <c r="E75" t="s">
        <v>15</v>
      </c>
      <c r="F75" t="s">
        <v>27</v>
      </c>
      <c r="G75" t="s">
        <v>9</v>
      </c>
    </row>
    <row r="76" spans="1:7" x14ac:dyDescent="0.25">
      <c r="A76" t="s">
        <v>138</v>
      </c>
      <c r="B76" s="3">
        <v>1</v>
      </c>
      <c r="C76" t="s">
        <v>139</v>
      </c>
      <c r="D76" t="s">
        <v>137</v>
      </c>
      <c r="E76" t="s">
        <v>15</v>
      </c>
      <c r="F76" t="s">
        <v>27</v>
      </c>
      <c r="G76" t="s">
        <v>9</v>
      </c>
    </row>
    <row r="77" spans="1:7" x14ac:dyDescent="0.25">
      <c r="A77" t="s">
        <v>140</v>
      </c>
      <c r="B77" s="3">
        <v>1</v>
      </c>
      <c r="C77" t="s">
        <v>44</v>
      </c>
      <c r="D77" t="s">
        <v>137</v>
      </c>
      <c r="E77" t="s">
        <v>15</v>
      </c>
      <c r="F77" t="s">
        <v>27</v>
      </c>
      <c r="G77" t="s">
        <v>9</v>
      </c>
    </row>
    <row r="78" spans="1:7" x14ac:dyDescent="0.25">
      <c r="A78" t="s">
        <v>141</v>
      </c>
      <c r="B78" s="3">
        <v>36</v>
      </c>
      <c r="C78" t="s">
        <v>44</v>
      </c>
      <c r="D78" t="s">
        <v>137</v>
      </c>
      <c r="E78" t="s">
        <v>15</v>
      </c>
      <c r="F78" t="s">
        <v>27</v>
      </c>
      <c r="G78" t="s">
        <v>9</v>
      </c>
    </row>
    <row r="79" spans="1:7" x14ac:dyDescent="0.25">
      <c r="A79" t="s">
        <v>142</v>
      </c>
      <c r="B79" s="3">
        <v>150000</v>
      </c>
      <c r="C79" t="s">
        <v>143</v>
      </c>
      <c r="D79" t="s">
        <v>137</v>
      </c>
      <c r="E79" t="s">
        <v>15</v>
      </c>
      <c r="F79" t="s">
        <v>27</v>
      </c>
      <c r="G79" t="s">
        <v>9</v>
      </c>
    </row>
    <row r="80" spans="1:7" x14ac:dyDescent="0.25">
      <c r="A80" t="s">
        <v>144</v>
      </c>
      <c r="B80" s="3">
        <v>0.09</v>
      </c>
      <c r="C80" t="s">
        <v>145</v>
      </c>
      <c r="D80" t="s">
        <v>146</v>
      </c>
      <c r="E80" t="s">
        <v>15</v>
      </c>
      <c r="F80" t="s">
        <v>27</v>
      </c>
      <c r="G80" t="s">
        <v>9</v>
      </c>
    </row>
    <row r="81" spans="1:7" x14ac:dyDescent="0.25">
      <c r="A81" t="s">
        <v>147</v>
      </c>
      <c r="B81" s="3">
        <v>0.12</v>
      </c>
      <c r="C81" t="s">
        <v>145</v>
      </c>
      <c r="D81" t="s">
        <v>148</v>
      </c>
      <c r="E81" t="s">
        <v>15</v>
      </c>
      <c r="F81" t="s">
        <v>33</v>
      </c>
      <c r="G81" t="s">
        <v>9</v>
      </c>
    </row>
    <row r="82" spans="1:7" x14ac:dyDescent="0.25">
      <c r="A82" t="s">
        <v>149</v>
      </c>
      <c r="B82" s="3">
        <v>2500</v>
      </c>
      <c r="C82" t="s">
        <v>150</v>
      </c>
      <c r="D82" t="s">
        <v>151</v>
      </c>
      <c r="E82" t="s">
        <v>15</v>
      </c>
      <c r="F82" t="s">
        <v>27</v>
      </c>
      <c r="G82" t="s">
        <v>9</v>
      </c>
    </row>
    <row r="83" spans="1:7" x14ac:dyDescent="0.25">
      <c r="A83" t="s">
        <v>152</v>
      </c>
      <c r="B83" s="2" t="b">
        <v>1</v>
      </c>
      <c r="C83" t="s">
        <v>153</v>
      </c>
      <c r="D83" t="s">
        <v>137</v>
      </c>
      <c r="E83" t="s">
        <v>15</v>
      </c>
      <c r="F83" t="s">
        <v>16</v>
      </c>
      <c r="G83" t="s">
        <v>9</v>
      </c>
    </row>
    <row r="84" spans="1:7" x14ac:dyDescent="0.25">
      <c r="A84" t="s">
        <v>154</v>
      </c>
      <c r="B84" s="2" t="b">
        <v>1</v>
      </c>
      <c r="C84" t="s">
        <v>153</v>
      </c>
      <c r="D84" t="s">
        <v>155</v>
      </c>
      <c r="E84" t="s">
        <v>15</v>
      </c>
      <c r="F84" t="s">
        <v>27</v>
      </c>
      <c r="G84" t="s">
        <v>9</v>
      </c>
    </row>
    <row r="85" spans="1:7" x14ac:dyDescent="0.25">
      <c r="A85" t="s">
        <v>156</v>
      </c>
      <c r="B85" s="2" t="s">
        <v>157</v>
      </c>
      <c r="C85" t="s">
        <v>13</v>
      </c>
      <c r="D85" t="s">
        <v>158</v>
      </c>
      <c r="E85" t="s">
        <v>15</v>
      </c>
      <c r="F85" t="s">
        <v>27</v>
      </c>
      <c r="G85" t="s">
        <v>9</v>
      </c>
    </row>
    <row r="86" spans="1:7" x14ac:dyDescent="0.25">
      <c r="A86" t="s">
        <v>159</v>
      </c>
      <c r="B86" s="3">
        <v>1</v>
      </c>
      <c r="C86" t="s">
        <v>139</v>
      </c>
      <c r="D86" t="s">
        <v>158</v>
      </c>
      <c r="E86" t="s">
        <v>15</v>
      </c>
      <c r="F86" t="s">
        <v>27</v>
      </c>
      <c r="G86" t="s">
        <v>9</v>
      </c>
    </row>
    <row r="87" spans="1:7" x14ac:dyDescent="0.25">
      <c r="A87" t="s">
        <v>160</v>
      </c>
      <c r="B87" s="3">
        <v>13</v>
      </c>
      <c r="C87" t="s">
        <v>44</v>
      </c>
      <c r="D87" t="s">
        <v>158</v>
      </c>
      <c r="E87" t="s">
        <v>15</v>
      </c>
      <c r="F87" t="s">
        <v>27</v>
      </c>
      <c r="G87" t="s">
        <v>9</v>
      </c>
    </row>
    <row r="88" spans="1:7" x14ac:dyDescent="0.25">
      <c r="A88" t="s">
        <v>161</v>
      </c>
      <c r="B88" s="3">
        <v>27</v>
      </c>
      <c r="C88" t="s">
        <v>44</v>
      </c>
      <c r="D88" t="s">
        <v>158</v>
      </c>
      <c r="E88" t="s">
        <v>15</v>
      </c>
      <c r="F88" t="s">
        <v>27</v>
      </c>
      <c r="G88" t="s">
        <v>9</v>
      </c>
    </row>
    <row r="89" spans="1:7" x14ac:dyDescent="0.25">
      <c r="A89" t="s">
        <v>162</v>
      </c>
      <c r="B89" s="3">
        <v>72000</v>
      </c>
      <c r="C89" t="s">
        <v>143</v>
      </c>
      <c r="D89" t="s">
        <v>158</v>
      </c>
      <c r="E89" t="s">
        <v>15</v>
      </c>
      <c r="F89" t="s">
        <v>27</v>
      </c>
      <c r="G89" t="s">
        <v>9</v>
      </c>
    </row>
    <row r="90" spans="1:7" x14ac:dyDescent="0.25">
      <c r="A90" t="s">
        <v>163</v>
      </c>
      <c r="B90" s="3">
        <v>0</v>
      </c>
      <c r="C90" t="s">
        <v>145</v>
      </c>
      <c r="D90" t="s">
        <v>164</v>
      </c>
      <c r="E90" t="s">
        <v>15</v>
      </c>
      <c r="F90" t="s">
        <v>16</v>
      </c>
      <c r="G90" t="s">
        <v>9</v>
      </c>
    </row>
    <row r="91" spans="1:7" x14ac:dyDescent="0.25">
      <c r="A91" t="s">
        <v>165</v>
      </c>
      <c r="B91" s="3">
        <v>0</v>
      </c>
      <c r="C91" t="s">
        <v>145</v>
      </c>
      <c r="D91" t="s">
        <v>166</v>
      </c>
      <c r="E91" t="s">
        <v>15</v>
      </c>
      <c r="F91" t="s">
        <v>16</v>
      </c>
      <c r="G91" t="s">
        <v>9</v>
      </c>
    </row>
    <row r="92" spans="1:7" x14ac:dyDescent="0.25">
      <c r="A92" t="s">
        <v>167</v>
      </c>
      <c r="B92" s="3">
        <v>0</v>
      </c>
      <c r="C92" t="s">
        <v>150</v>
      </c>
      <c r="D92" t="s">
        <v>168</v>
      </c>
      <c r="E92" t="s">
        <v>15</v>
      </c>
      <c r="F92" t="s">
        <v>16</v>
      </c>
      <c r="G92" t="s">
        <v>9</v>
      </c>
    </row>
    <row r="93" spans="1:7" x14ac:dyDescent="0.25">
      <c r="A93" t="s">
        <v>169</v>
      </c>
      <c r="B93" s="2" t="b">
        <v>0</v>
      </c>
      <c r="C93" t="s">
        <v>153</v>
      </c>
      <c r="D93" t="s">
        <v>158</v>
      </c>
      <c r="E93" t="s">
        <v>15</v>
      </c>
      <c r="F93" t="s">
        <v>16</v>
      </c>
      <c r="G93" t="s">
        <v>9</v>
      </c>
    </row>
    <row r="94" spans="1:7" x14ac:dyDescent="0.25">
      <c r="A94" t="s">
        <v>170</v>
      </c>
      <c r="B94" s="2" t="b">
        <v>0</v>
      </c>
      <c r="C94" t="s">
        <v>153</v>
      </c>
      <c r="D94" t="s">
        <v>171</v>
      </c>
      <c r="E94" t="s">
        <v>15</v>
      </c>
      <c r="F94" t="s">
        <v>27</v>
      </c>
      <c r="G94" t="s">
        <v>9</v>
      </c>
    </row>
    <row r="95" spans="1:7" x14ac:dyDescent="0.25">
      <c r="A95" t="s">
        <v>172</v>
      </c>
      <c r="B95" s="2" t="s">
        <v>173</v>
      </c>
      <c r="C95" t="s">
        <v>13</v>
      </c>
      <c r="D95" t="s">
        <v>174</v>
      </c>
      <c r="E95" t="s">
        <v>15</v>
      </c>
      <c r="F95" t="s">
        <v>27</v>
      </c>
      <c r="G95" t="s">
        <v>9</v>
      </c>
    </row>
    <row r="96" spans="1:7" x14ac:dyDescent="0.25">
      <c r="A96" t="s">
        <v>175</v>
      </c>
      <c r="B96" s="3">
        <v>1</v>
      </c>
      <c r="C96" t="s">
        <v>139</v>
      </c>
      <c r="D96" t="s">
        <v>174</v>
      </c>
      <c r="E96" t="s">
        <v>15</v>
      </c>
      <c r="F96" t="s">
        <v>27</v>
      </c>
      <c r="G96" t="s">
        <v>9</v>
      </c>
    </row>
    <row r="97" spans="1:7" x14ac:dyDescent="0.25">
      <c r="A97" t="s">
        <v>176</v>
      </c>
      <c r="B97" s="3">
        <v>28</v>
      </c>
      <c r="C97" t="s">
        <v>44</v>
      </c>
      <c r="D97" t="s">
        <v>174</v>
      </c>
      <c r="E97" t="s">
        <v>15</v>
      </c>
      <c r="F97" t="s">
        <v>27</v>
      </c>
      <c r="G97" t="s">
        <v>9</v>
      </c>
    </row>
    <row r="98" spans="1:7" x14ac:dyDescent="0.25">
      <c r="A98" t="s">
        <v>177</v>
      </c>
      <c r="B98" s="3">
        <v>36</v>
      </c>
      <c r="C98" t="s">
        <v>44</v>
      </c>
      <c r="D98" t="s">
        <v>174</v>
      </c>
      <c r="E98" t="s">
        <v>15</v>
      </c>
      <c r="F98" t="s">
        <v>27</v>
      </c>
      <c r="G98" t="s">
        <v>9</v>
      </c>
    </row>
    <row r="99" spans="1:7" x14ac:dyDescent="0.25">
      <c r="A99" t="s">
        <v>178</v>
      </c>
      <c r="B99" s="3">
        <v>130000</v>
      </c>
      <c r="C99" t="s">
        <v>143</v>
      </c>
      <c r="D99" t="s">
        <v>174</v>
      </c>
      <c r="E99" t="s">
        <v>15</v>
      </c>
      <c r="F99" t="s">
        <v>27</v>
      </c>
      <c r="G99" t="s">
        <v>9</v>
      </c>
    </row>
    <row r="100" spans="1:7" x14ac:dyDescent="0.25">
      <c r="A100" t="s">
        <v>179</v>
      </c>
      <c r="B100" s="3">
        <v>0.09</v>
      </c>
      <c r="C100" t="s">
        <v>145</v>
      </c>
      <c r="D100" t="s">
        <v>146</v>
      </c>
      <c r="E100" t="s">
        <v>15</v>
      </c>
      <c r="F100" t="s">
        <v>27</v>
      </c>
      <c r="G100" t="s">
        <v>9</v>
      </c>
    </row>
    <row r="101" spans="1:7" x14ac:dyDescent="0.25">
      <c r="A101" t="s">
        <v>180</v>
      </c>
      <c r="B101" s="3">
        <v>0.12</v>
      </c>
      <c r="C101" t="s">
        <v>145</v>
      </c>
      <c r="D101" t="s">
        <v>148</v>
      </c>
      <c r="E101" t="s">
        <v>15</v>
      </c>
      <c r="F101" t="s">
        <v>33</v>
      </c>
      <c r="G101" t="s">
        <v>9</v>
      </c>
    </row>
    <row r="102" spans="1:7" x14ac:dyDescent="0.25">
      <c r="A102" t="s">
        <v>181</v>
      </c>
      <c r="B102" s="3">
        <v>2500</v>
      </c>
      <c r="C102" t="s">
        <v>150</v>
      </c>
      <c r="D102" t="s">
        <v>151</v>
      </c>
      <c r="E102" t="s">
        <v>15</v>
      </c>
      <c r="F102" t="s">
        <v>27</v>
      </c>
      <c r="G102" t="s">
        <v>9</v>
      </c>
    </row>
    <row r="103" spans="1:7" x14ac:dyDescent="0.25">
      <c r="A103" t="s">
        <v>182</v>
      </c>
      <c r="B103" s="2" t="b">
        <v>0</v>
      </c>
      <c r="C103" t="s">
        <v>153</v>
      </c>
      <c r="D103" t="s">
        <v>174</v>
      </c>
      <c r="E103" t="s">
        <v>15</v>
      </c>
      <c r="F103" t="s">
        <v>16</v>
      </c>
      <c r="G103" t="s">
        <v>9</v>
      </c>
    </row>
    <row r="104" spans="1:7" x14ac:dyDescent="0.25">
      <c r="A104" t="s">
        <v>183</v>
      </c>
      <c r="B104" s="2" t="b">
        <v>0</v>
      </c>
      <c r="C104" t="s">
        <v>153</v>
      </c>
      <c r="D104" t="s">
        <v>171</v>
      </c>
      <c r="E104" t="s">
        <v>15</v>
      </c>
      <c r="F104" t="s">
        <v>27</v>
      </c>
      <c r="G104" t="s">
        <v>9</v>
      </c>
    </row>
    <row r="105" spans="1:7" x14ac:dyDescent="0.25">
      <c r="A105" t="s">
        <v>184</v>
      </c>
      <c r="B105" s="2" t="s">
        <v>185</v>
      </c>
      <c r="C105" t="s">
        <v>13</v>
      </c>
      <c r="D105" t="s">
        <v>186</v>
      </c>
      <c r="E105" t="s">
        <v>15</v>
      </c>
      <c r="F105" t="s">
        <v>27</v>
      </c>
      <c r="G105" t="s">
        <v>9</v>
      </c>
    </row>
    <row r="106" spans="1:7" x14ac:dyDescent="0.25">
      <c r="A106" t="s">
        <v>187</v>
      </c>
      <c r="B106" s="3">
        <v>250</v>
      </c>
      <c r="C106" t="s">
        <v>20</v>
      </c>
      <c r="D106" t="s">
        <v>186</v>
      </c>
      <c r="E106" t="s">
        <v>15</v>
      </c>
      <c r="F106" t="s">
        <v>27</v>
      </c>
      <c r="G106" t="s">
        <v>9</v>
      </c>
    </row>
    <row r="107" spans="1:7" x14ac:dyDescent="0.25">
      <c r="A107" t="s">
        <v>188</v>
      </c>
      <c r="B107" s="2" t="s">
        <v>97</v>
      </c>
      <c r="C107" t="s">
        <v>41</v>
      </c>
      <c r="D107" t="s">
        <v>186</v>
      </c>
      <c r="E107" t="s">
        <v>15</v>
      </c>
      <c r="F107" t="s">
        <v>16</v>
      </c>
      <c r="G107" t="s">
        <v>9</v>
      </c>
    </row>
    <row r="108" spans="1:7" x14ac:dyDescent="0.25">
      <c r="A108" t="s">
        <v>189</v>
      </c>
      <c r="B108" s="3">
        <v>1</v>
      </c>
      <c r="C108" t="s">
        <v>44</v>
      </c>
      <c r="D108" t="s">
        <v>186</v>
      </c>
      <c r="E108" t="s">
        <v>15</v>
      </c>
      <c r="F108" t="s">
        <v>27</v>
      </c>
      <c r="G108" t="s">
        <v>9</v>
      </c>
    </row>
    <row r="109" spans="1:7" x14ac:dyDescent="0.25">
      <c r="A109" t="s">
        <v>190</v>
      </c>
      <c r="B109" s="3">
        <v>36</v>
      </c>
      <c r="C109" t="s">
        <v>44</v>
      </c>
      <c r="D109" t="s">
        <v>186</v>
      </c>
      <c r="E109" t="s">
        <v>15</v>
      </c>
      <c r="F109" t="s">
        <v>27</v>
      </c>
      <c r="G109" t="s">
        <v>9</v>
      </c>
    </row>
    <row r="110" spans="1:7" x14ac:dyDescent="0.25">
      <c r="A110" t="s">
        <v>191</v>
      </c>
      <c r="B110" s="2" t="s">
        <v>192</v>
      </c>
      <c r="C110" t="s">
        <v>13</v>
      </c>
      <c r="D110" t="s">
        <v>193</v>
      </c>
      <c r="E110" t="s">
        <v>15</v>
      </c>
      <c r="F110" t="s">
        <v>27</v>
      </c>
      <c r="G110" t="s">
        <v>9</v>
      </c>
    </row>
    <row r="111" spans="1:7" x14ac:dyDescent="0.25">
      <c r="A111" t="s">
        <v>194</v>
      </c>
      <c r="B111" s="3">
        <v>100</v>
      </c>
      <c r="C111" t="s">
        <v>20</v>
      </c>
      <c r="D111" t="s">
        <v>193</v>
      </c>
      <c r="E111" t="s">
        <v>15</v>
      </c>
      <c r="F111" t="s">
        <v>27</v>
      </c>
      <c r="G111" t="s">
        <v>9</v>
      </c>
    </row>
    <row r="112" spans="1:7" x14ac:dyDescent="0.25">
      <c r="A112" t="s">
        <v>195</v>
      </c>
      <c r="B112" s="2" t="s">
        <v>97</v>
      </c>
      <c r="C112" t="s">
        <v>41</v>
      </c>
      <c r="D112" t="s">
        <v>193</v>
      </c>
      <c r="E112" t="s">
        <v>15</v>
      </c>
      <c r="F112" t="s">
        <v>16</v>
      </c>
      <c r="G112" t="s">
        <v>9</v>
      </c>
    </row>
    <row r="113" spans="1:7" x14ac:dyDescent="0.25">
      <c r="A113" t="s">
        <v>196</v>
      </c>
      <c r="B113" s="3">
        <v>1</v>
      </c>
      <c r="C113" t="s">
        <v>44</v>
      </c>
      <c r="D113" t="s">
        <v>193</v>
      </c>
      <c r="E113" t="s">
        <v>15</v>
      </c>
      <c r="F113" t="s">
        <v>27</v>
      </c>
      <c r="G113" t="s">
        <v>9</v>
      </c>
    </row>
    <row r="114" spans="1:7" x14ac:dyDescent="0.25">
      <c r="A114" t="s">
        <v>197</v>
      </c>
      <c r="B114" s="3">
        <v>36</v>
      </c>
      <c r="C114" t="s">
        <v>44</v>
      </c>
      <c r="D114" t="s">
        <v>193</v>
      </c>
      <c r="E114" t="s">
        <v>15</v>
      </c>
      <c r="F114" t="s">
        <v>27</v>
      </c>
      <c r="G114" t="s">
        <v>9</v>
      </c>
    </row>
    <row r="115" spans="1:7" x14ac:dyDescent="0.25">
      <c r="A115" t="s">
        <v>198</v>
      </c>
      <c r="B115" s="2" t="s">
        <v>199</v>
      </c>
      <c r="C115" t="s">
        <v>13</v>
      </c>
      <c r="D115" t="s">
        <v>200</v>
      </c>
      <c r="E115" t="s">
        <v>15</v>
      </c>
      <c r="F115" t="s">
        <v>33</v>
      </c>
      <c r="G115" t="s">
        <v>9</v>
      </c>
    </row>
    <row r="116" spans="1:7" x14ac:dyDescent="0.25">
      <c r="A116" t="s">
        <v>201</v>
      </c>
      <c r="B116" s="3">
        <v>6000</v>
      </c>
      <c r="C116" t="s">
        <v>20</v>
      </c>
      <c r="D116" t="s">
        <v>200</v>
      </c>
      <c r="E116" t="s">
        <v>15</v>
      </c>
      <c r="F116" t="s">
        <v>33</v>
      </c>
      <c r="G116" t="s">
        <v>9</v>
      </c>
    </row>
    <row r="117" spans="1:7" x14ac:dyDescent="0.25">
      <c r="A117" t="s">
        <v>202</v>
      </c>
      <c r="B117" s="2" t="s">
        <v>40</v>
      </c>
      <c r="C117" t="s">
        <v>41</v>
      </c>
      <c r="D117" t="s">
        <v>200</v>
      </c>
      <c r="E117" t="s">
        <v>15</v>
      </c>
      <c r="F117" t="s">
        <v>16</v>
      </c>
      <c r="G117" t="s">
        <v>9</v>
      </c>
    </row>
    <row r="118" spans="1:7" x14ac:dyDescent="0.25">
      <c r="A118" t="s">
        <v>203</v>
      </c>
      <c r="B118" s="3">
        <v>14</v>
      </c>
      <c r="C118" t="s">
        <v>44</v>
      </c>
      <c r="D118" t="s">
        <v>200</v>
      </c>
      <c r="E118" t="s">
        <v>15</v>
      </c>
      <c r="F118" t="s">
        <v>33</v>
      </c>
      <c r="G118" t="s">
        <v>9</v>
      </c>
    </row>
    <row r="119" spans="1:7" x14ac:dyDescent="0.25">
      <c r="A119" t="s">
        <v>204</v>
      </c>
      <c r="B119" s="3">
        <v>14</v>
      </c>
      <c r="C119" t="s">
        <v>44</v>
      </c>
      <c r="D119" t="s">
        <v>200</v>
      </c>
      <c r="E119" t="s">
        <v>15</v>
      </c>
      <c r="F119" t="s">
        <v>33</v>
      </c>
      <c r="G119" t="s">
        <v>9</v>
      </c>
    </row>
    <row r="120" spans="1:7" x14ac:dyDescent="0.25">
      <c r="A120" t="s">
        <v>205</v>
      </c>
      <c r="B120" s="2" t="s">
        <v>206</v>
      </c>
      <c r="C120" t="s">
        <v>13</v>
      </c>
      <c r="D120" t="s">
        <v>207</v>
      </c>
      <c r="E120" t="s">
        <v>15</v>
      </c>
      <c r="F120" t="s">
        <v>33</v>
      </c>
      <c r="G120" t="s">
        <v>9</v>
      </c>
    </row>
    <row r="121" spans="1:7" x14ac:dyDescent="0.25">
      <c r="A121" t="s">
        <v>208</v>
      </c>
      <c r="B121" s="3">
        <v>4000</v>
      </c>
      <c r="C121" t="s">
        <v>20</v>
      </c>
      <c r="D121" t="s">
        <v>207</v>
      </c>
      <c r="E121" t="s">
        <v>15</v>
      </c>
      <c r="F121" t="s">
        <v>33</v>
      </c>
      <c r="G121" t="s">
        <v>9</v>
      </c>
    </row>
    <row r="122" spans="1:7" x14ac:dyDescent="0.25">
      <c r="A122" t="s">
        <v>209</v>
      </c>
      <c r="B122" s="2" t="s">
        <v>40</v>
      </c>
      <c r="C122" t="s">
        <v>41</v>
      </c>
      <c r="D122" t="s">
        <v>207</v>
      </c>
      <c r="E122" t="s">
        <v>15</v>
      </c>
      <c r="F122" t="s">
        <v>16</v>
      </c>
      <c r="G122" t="s">
        <v>9</v>
      </c>
    </row>
    <row r="123" spans="1:7" x14ac:dyDescent="0.25">
      <c r="A123" t="s">
        <v>210</v>
      </c>
      <c r="B123" s="3">
        <v>2</v>
      </c>
      <c r="C123" t="s">
        <v>44</v>
      </c>
      <c r="D123" t="s">
        <v>207</v>
      </c>
      <c r="E123" t="s">
        <v>15</v>
      </c>
      <c r="F123" t="s">
        <v>33</v>
      </c>
      <c r="G123" t="s">
        <v>9</v>
      </c>
    </row>
    <row r="124" spans="1:7" x14ac:dyDescent="0.25">
      <c r="A124" t="s">
        <v>211</v>
      </c>
      <c r="B124" s="3">
        <v>2</v>
      </c>
      <c r="C124" t="s">
        <v>44</v>
      </c>
      <c r="D124" t="s">
        <v>207</v>
      </c>
      <c r="E124" t="s">
        <v>15</v>
      </c>
      <c r="F124" t="s">
        <v>33</v>
      </c>
      <c r="G124" t="s">
        <v>9</v>
      </c>
    </row>
    <row r="125" spans="1:7" x14ac:dyDescent="0.25">
      <c r="A125" t="s">
        <v>212</v>
      </c>
      <c r="B125" s="2" t="s">
        <v>213</v>
      </c>
      <c r="C125" t="s">
        <v>13</v>
      </c>
      <c r="D125" t="s">
        <v>214</v>
      </c>
      <c r="E125" t="s">
        <v>15</v>
      </c>
      <c r="F125" t="s">
        <v>33</v>
      </c>
      <c r="G125" t="s">
        <v>9</v>
      </c>
    </row>
    <row r="126" spans="1:7" x14ac:dyDescent="0.25">
      <c r="A126" t="s">
        <v>215</v>
      </c>
      <c r="B126" s="3">
        <v>3000</v>
      </c>
      <c r="C126" t="s">
        <v>20</v>
      </c>
      <c r="D126" t="s">
        <v>214</v>
      </c>
      <c r="E126" t="s">
        <v>15</v>
      </c>
      <c r="F126" t="s">
        <v>33</v>
      </c>
      <c r="G126" t="s">
        <v>9</v>
      </c>
    </row>
    <row r="127" spans="1:7" x14ac:dyDescent="0.25">
      <c r="A127" t="s">
        <v>216</v>
      </c>
      <c r="B127" s="2" t="s">
        <v>40</v>
      </c>
      <c r="C127" t="s">
        <v>41</v>
      </c>
      <c r="D127" t="s">
        <v>214</v>
      </c>
      <c r="E127" t="s">
        <v>15</v>
      </c>
      <c r="F127" t="s">
        <v>16</v>
      </c>
      <c r="G127" t="s">
        <v>9</v>
      </c>
    </row>
    <row r="128" spans="1:7" x14ac:dyDescent="0.25">
      <c r="A128" t="s">
        <v>217</v>
      </c>
      <c r="B128" s="3">
        <v>2</v>
      </c>
      <c r="C128" t="s">
        <v>44</v>
      </c>
      <c r="D128" t="s">
        <v>214</v>
      </c>
      <c r="E128" t="s">
        <v>15</v>
      </c>
      <c r="F128" t="s">
        <v>33</v>
      </c>
      <c r="G128" t="s">
        <v>9</v>
      </c>
    </row>
    <row r="129" spans="1:7" x14ac:dyDescent="0.25">
      <c r="A129" t="s">
        <v>218</v>
      </c>
      <c r="B129" s="3">
        <v>2</v>
      </c>
      <c r="C129" t="s">
        <v>44</v>
      </c>
      <c r="D129" t="s">
        <v>214</v>
      </c>
      <c r="E129" t="s">
        <v>15</v>
      </c>
      <c r="F129" t="s">
        <v>33</v>
      </c>
      <c r="G129" t="s">
        <v>9</v>
      </c>
    </row>
    <row r="130" spans="1:7" x14ac:dyDescent="0.25">
      <c r="A130" t="s">
        <v>219</v>
      </c>
      <c r="B130" s="2" t="s">
        <v>220</v>
      </c>
      <c r="C130" t="s">
        <v>13</v>
      </c>
      <c r="D130" t="s">
        <v>221</v>
      </c>
      <c r="E130" t="s">
        <v>15</v>
      </c>
      <c r="F130" t="s">
        <v>27</v>
      </c>
      <c r="G130" t="s">
        <v>9</v>
      </c>
    </row>
    <row r="131" spans="1:7" x14ac:dyDescent="0.25">
      <c r="A131" t="s">
        <v>222</v>
      </c>
      <c r="B131" s="3">
        <v>1500</v>
      </c>
      <c r="C131" t="s">
        <v>20</v>
      </c>
      <c r="D131" t="s">
        <v>221</v>
      </c>
      <c r="E131" t="s">
        <v>15</v>
      </c>
      <c r="F131" t="s">
        <v>27</v>
      </c>
      <c r="G131" t="s">
        <v>9</v>
      </c>
    </row>
    <row r="132" spans="1:7" x14ac:dyDescent="0.25">
      <c r="A132" t="s">
        <v>223</v>
      </c>
      <c r="B132" s="2" t="s">
        <v>40</v>
      </c>
      <c r="C132" t="s">
        <v>41</v>
      </c>
      <c r="D132" t="s">
        <v>221</v>
      </c>
      <c r="E132" t="s">
        <v>15</v>
      </c>
      <c r="F132" t="s">
        <v>16</v>
      </c>
      <c r="G132" t="s">
        <v>9</v>
      </c>
    </row>
    <row r="133" spans="1:7" x14ac:dyDescent="0.25">
      <c r="A133" t="s">
        <v>224</v>
      </c>
      <c r="B133" s="3">
        <v>2</v>
      </c>
      <c r="C133" t="s">
        <v>44</v>
      </c>
      <c r="D133" t="s">
        <v>221</v>
      </c>
      <c r="E133" t="s">
        <v>15</v>
      </c>
      <c r="F133" t="s">
        <v>27</v>
      </c>
      <c r="G133" t="s">
        <v>9</v>
      </c>
    </row>
    <row r="134" spans="1:7" x14ac:dyDescent="0.25">
      <c r="A134" t="s">
        <v>225</v>
      </c>
      <c r="B134" s="3">
        <v>2</v>
      </c>
      <c r="C134" t="s">
        <v>44</v>
      </c>
      <c r="D134" t="s">
        <v>221</v>
      </c>
      <c r="E134" t="s">
        <v>15</v>
      </c>
      <c r="F134" t="s">
        <v>27</v>
      </c>
      <c r="G134" t="s">
        <v>9</v>
      </c>
    </row>
    <row r="135" spans="1:7" x14ac:dyDescent="0.25">
      <c r="A135" t="s">
        <v>226</v>
      </c>
      <c r="B135" s="2" t="s">
        <v>227</v>
      </c>
      <c r="C135" t="s">
        <v>13</v>
      </c>
      <c r="D135" t="s">
        <v>228</v>
      </c>
      <c r="E135" t="s">
        <v>15</v>
      </c>
      <c r="F135" t="s">
        <v>27</v>
      </c>
      <c r="G135" t="s">
        <v>9</v>
      </c>
    </row>
    <row r="136" spans="1:7" x14ac:dyDescent="0.25">
      <c r="A136" t="s">
        <v>229</v>
      </c>
      <c r="B136" s="3">
        <v>300</v>
      </c>
      <c r="C136" t="s">
        <v>20</v>
      </c>
      <c r="D136" t="s">
        <v>228</v>
      </c>
      <c r="E136" t="s">
        <v>15</v>
      </c>
      <c r="F136" t="s">
        <v>27</v>
      </c>
      <c r="G136" t="s">
        <v>9</v>
      </c>
    </row>
    <row r="137" spans="1:7" x14ac:dyDescent="0.25">
      <c r="A137" t="s">
        <v>230</v>
      </c>
      <c r="B137" s="2" t="s">
        <v>97</v>
      </c>
      <c r="C137" t="s">
        <v>41</v>
      </c>
      <c r="D137" t="s">
        <v>228</v>
      </c>
      <c r="E137" t="s">
        <v>15</v>
      </c>
      <c r="F137" t="s">
        <v>16</v>
      </c>
      <c r="G137" t="s">
        <v>9</v>
      </c>
    </row>
    <row r="138" spans="1:7" x14ac:dyDescent="0.25">
      <c r="A138" t="s">
        <v>231</v>
      </c>
      <c r="B138" s="3">
        <v>1</v>
      </c>
      <c r="C138" t="s">
        <v>44</v>
      </c>
      <c r="D138" t="s">
        <v>228</v>
      </c>
      <c r="E138" t="s">
        <v>15</v>
      </c>
      <c r="F138" t="s">
        <v>27</v>
      </c>
      <c r="G138" t="s">
        <v>9</v>
      </c>
    </row>
    <row r="139" spans="1:7" x14ac:dyDescent="0.25">
      <c r="A139" t="s">
        <v>232</v>
      </c>
      <c r="B139" s="3">
        <v>12</v>
      </c>
      <c r="C139" t="s">
        <v>44</v>
      </c>
      <c r="D139" t="s">
        <v>228</v>
      </c>
      <c r="E139" t="s">
        <v>15</v>
      </c>
      <c r="F139" t="s">
        <v>27</v>
      </c>
      <c r="G139" t="s">
        <v>9</v>
      </c>
    </row>
    <row r="140" spans="1:7" x14ac:dyDescent="0.25">
      <c r="A140" t="s">
        <v>233</v>
      </c>
      <c r="B140" s="2" t="s">
        <v>234</v>
      </c>
      <c r="C140" t="s">
        <v>13</v>
      </c>
      <c r="D140" t="s">
        <v>235</v>
      </c>
      <c r="E140" t="s">
        <v>15</v>
      </c>
      <c r="F140" t="s">
        <v>33</v>
      </c>
      <c r="G140" t="s">
        <v>9</v>
      </c>
    </row>
    <row r="141" spans="1:7" x14ac:dyDescent="0.25">
      <c r="A141" t="s">
        <v>236</v>
      </c>
      <c r="B141" s="3">
        <v>4500</v>
      </c>
      <c r="C141" t="s">
        <v>20</v>
      </c>
      <c r="D141" t="s">
        <v>235</v>
      </c>
      <c r="E141" t="s">
        <v>15</v>
      </c>
      <c r="F141" t="s">
        <v>33</v>
      </c>
      <c r="G141" t="s">
        <v>9</v>
      </c>
    </row>
    <row r="142" spans="1:7" x14ac:dyDescent="0.25">
      <c r="A142" t="s">
        <v>237</v>
      </c>
      <c r="B142" s="2" t="s">
        <v>52</v>
      </c>
      <c r="C142" t="s">
        <v>41</v>
      </c>
      <c r="D142" t="s">
        <v>235</v>
      </c>
      <c r="E142" t="s">
        <v>15</v>
      </c>
      <c r="F142" t="s">
        <v>16</v>
      </c>
      <c r="G142" t="s">
        <v>9</v>
      </c>
    </row>
    <row r="143" spans="1:7" x14ac:dyDescent="0.25">
      <c r="A143" t="s">
        <v>238</v>
      </c>
      <c r="B143" s="3">
        <v>14</v>
      </c>
      <c r="C143" t="s">
        <v>44</v>
      </c>
      <c r="D143" t="s">
        <v>235</v>
      </c>
      <c r="E143" t="s">
        <v>15</v>
      </c>
      <c r="F143" t="s">
        <v>33</v>
      </c>
      <c r="G143" t="s">
        <v>9</v>
      </c>
    </row>
    <row r="144" spans="1:7" x14ac:dyDescent="0.25">
      <c r="A144" t="s">
        <v>239</v>
      </c>
      <c r="B144" s="3">
        <v>36</v>
      </c>
      <c r="C144" t="s">
        <v>44</v>
      </c>
      <c r="D144" t="s">
        <v>235</v>
      </c>
      <c r="E144" t="s">
        <v>15</v>
      </c>
      <c r="F144" t="s">
        <v>33</v>
      </c>
      <c r="G144" t="s">
        <v>9</v>
      </c>
    </row>
    <row r="145" spans="1:7" x14ac:dyDescent="0.25">
      <c r="A145" t="s">
        <v>240</v>
      </c>
      <c r="B145" s="2" t="s">
        <v>241</v>
      </c>
      <c r="C145" t="s">
        <v>13</v>
      </c>
      <c r="D145" t="s">
        <v>242</v>
      </c>
      <c r="E145" t="s">
        <v>15</v>
      </c>
      <c r="F145" t="s">
        <v>27</v>
      </c>
      <c r="G145" t="s">
        <v>9</v>
      </c>
    </row>
    <row r="146" spans="1:7" x14ac:dyDescent="0.25">
      <c r="A146" t="s">
        <v>243</v>
      </c>
      <c r="B146" s="3">
        <v>100</v>
      </c>
      <c r="C146" t="s">
        <v>20</v>
      </c>
      <c r="D146" t="s">
        <v>242</v>
      </c>
      <c r="E146" t="s">
        <v>15</v>
      </c>
      <c r="F146" t="s">
        <v>27</v>
      </c>
      <c r="G146" t="s">
        <v>9</v>
      </c>
    </row>
    <row r="147" spans="1:7" x14ac:dyDescent="0.25">
      <c r="A147" t="s">
        <v>244</v>
      </c>
      <c r="B147" s="2" t="s">
        <v>97</v>
      </c>
      <c r="C147" t="s">
        <v>41</v>
      </c>
      <c r="D147" t="s">
        <v>242</v>
      </c>
      <c r="E147" t="s">
        <v>15</v>
      </c>
      <c r="F147" t="s">
        <v>16</v>
      </c>
      <c r="G147" t="s">
        <v>9</v>
      </c>
    </row>
    <row r="148" spans="1:7" x14ac:dyDescent="0.25">
      <c r="A148" t="s">
        <v>245</v>
      </c>
      <c r="B148" s="3">
        <v>1</v>
      </c>
      <c r="C148" t="s">
        <v>44</v>
      </c>
      <c r="D148" t="s">
        <v>242</v>
      </c>
      <c r="E148" t="s">
        <v>15</v>
      </c>
      <c r="F148" t="s">
        <v>27</v>
      </c>
      <c r="G148" t="s">
        <v>9</v>
      </c>
    </row>
    <row r="149" spans="1:7" x14ac:dyDescent="0.25">
      <c r="A149" t="s">
        <v>246</v>
      </c>
      <c r="B149" s="3">
        <v>36</v>
      </c>
      <c r="C149" t="s">
        <v>44</v>
      </c>
      <c r="D149" t="s">
        <v>242</v>
      </c>
      <c r="E149" t="s">
        <v>15</v>
      </c>
      <c r="F149" t="s">
        <v>27</v>
      </c>
      <c r="G149" t="s">
        <v>9</v>
      </c>
    </row>
    <row r="150" spans="1:7" x14ac:dyDescent="0.25">
      <c r="A150" t="s">
        <v>247</v>
      </c>
      <c r="B150" s="2" t="s">
        <v>248</v>
      </c>
      <c r="C150" t="s">
        <v>13</v>
      </c>
      <c r="D150" t="s">
        <v>249</v>
      </c>
      <c r="E150" t="s">
        <v>15</v>
      </c>
      <c r="F150" t="s">
        <v>16</v>
      </c>
      <c r="G150" t="s">
        <v>9</v>
      </c>
    </row>
    <row r="151" spans="1:7" x14ac:dyDescent="0.25">
      <c r="A151" t="s">
        <v>250</v>
      </c>
      <c r="B151" s="3">
        <v>0</v>
      </c>
      <c r="C151" t="s">
        <v>20</v>
      </c>
      <c r="D151" t="s">
        <v>249</v>
      </c>
      <c r="E151" t="s">
        <v>15</v>
      </c>
      <c r="F151" t="s">
        <v>16</v>
      </c>
      <c r="G151" t="s">
        <v>9</v>
      </c>
    </row>
    <row r="152" spans="1:7" x14ac:dyDescent="0.25">
      <c r="A152" t="s">
        <v>251</v>
      </c>
      <c r="B152" s="2" t="s">
        <v>97</v>
      </c>
      <c r="C152" t="s">
        <v>41</v>
      </c>
      <c r="D152" t="s">
        <v>249</v>
      </c>
      <c r="E152" t="s">
        <v>15</v>
      </c>
      <c r="F152" t="s">
        <v>16</v>
      </c>
      <c r="G152" t="s">
        <v>9</v>
      </c>
    </row>
    <row r="153" spans="1:7" x14ac:dyDescent="0.25">
      <c r="A153" t="s">
        <v>252</v>
      </c>
      <c r="B153" s="3">
        <v>1</v>
      </c>
      <c r="C153" t="s">
        <v>44</v>
      </c>
      <c r="D153" t="s">
        <v>249</v>
      </c>
      <c r="E153" t="s">
        <v>15</v>
      </c>
      <c r="F153" t="s">
        <v>16</v>
      </c>
      <c r="G153" t="s">
        <v>9</v>
      </c>
    </row>
    <row r="154" spans="1:7" x14ac:dyDescent="0.25">
      <c r="A154" t="s">
        <v>253</v>
      </c>
      <c r="B154" s="3">
        <v>12</v>
      </c>
      <c r="C154" t="s">
        <v>44</v>
      </c>
      <c r="D154" t="s">
        <v>249</v>
      </c>
      <c r="E154" t="s">
        <v>15</v>
      </c>
      <c r="F154" t="s">
        <v>16</v>
      </c>
      <c r="G154" t="s">
        <v>9</v>
      </c>
    </row>
    <row r="155" spans="1:7" x14ac:dyDescent="0.25">
      <c r="A155" t="s">
        <v>254</v>
      </c>
      <c r="B155" s="2" t="s">
        <v>255</v>
      </c>
      <c r="C155" t="s">
        <v>13</v>
      </c>
      <c r="D155" t="s">
        <v>256</v>
      </c>
      <c r="E155" t="s">
        <v>15</v>
      </c>
      <c r="F155" t="s">
        <v>33</v>
      </c>
      <c r="G155" t="s">
        <v>9</v>
      </c>
    </row>
    <row r="156" spans="1:7" x14ac:dyDescent="0.25">
      <c r="A156" t="s">
        <v>257</v>
      </c>
      <c r="B156" s="3">
        <v>750</v>
      </c>
      <c r="C156" t="s">
        <v>20</v>
      </c>
      <c r="D156" t="s">
        <v>256</v>
      </c>
      <c r="E156" t="s">
        <v>15</v>
      </c>
      <c r="F156" t="s">
        <v>33</v>
      </c>
      <c r="G156" t="s">
        <v>9</v>
      </c>
    </row>
    <row r="157" spans="1:7" x14ac:dyDescent="0.25">
      <c r="A157" t="s">
        <v>258</v>
      </c>
      <c r="B157" s="2" t="s">
        <v>97</v>
      </c>
      <c r="C157" t="s">
        <v>41</v>
      </c>
      <c r="D157" t="s">
        <v>256</v>
      </c>
      <c r="E157" t="s">
        <v>15</v>
      </c>
      <c r="F157" t="s">
        <v>16</v>
      </c>
      <c r="G157" t="s">
        <v>9</v>
      </c>
    </row>
    <row r="158" spans="1:7" x14ac:dyDescent="0.25">
      <c r="A158" t="s">
        <v>259</v>
      </c>
      <c r="B158" s="3">
        <v>13</v>
      </c>
      <c r="C158" t="s">
        <v>44</v>
      </c>
      <c r="D158" t="s">
        <v>256</v>
      </c>
      <c r="E158" t="s">
        <v>15</v>
      </c>
      <c r="F158" t="s">
        <v>33</v>
      </c>
      <c r="G158" t="s">
        <v>9</v>
      </c>
    </row>
    <row r="159" spans="1:7" x14ac:dyDescent="0.25">
      <c r="A159" t="s">
        <v>260</v>
      </c>
      <c r="B159" s="3">
        <v>36</v>
      </c>
      <c r="C159" t="s">
        <v>44</v>
      </c>
      <c r="D159" t="s">
        <v>256</v>
      </c>
      <c r="E159" t="s">
        <v>15</v>
      </c>
      <c r="F159" t="s">
        <v>33</v>
      </c>
      <c r="G159" t="s">
        <v>9</v>
      </c>
    </row>
    <row r="160" spans="1:7" x14ac:dyDescent="0.25">
      <c r="A160" t="s">
        <v>261</v>
      </c>
      <c r="B160" s="2" t="s">
        <v>262</v>
      </c>
      <c r="C160" t="s">
        <v>13</v>
      </c>
      <c r="D160" t="s">
        <v>263</v>
      </c>
      <c r="E160" t="s">
        <v>15</v>
      </c>
      <c r="F160" t="s">
        <v>33</v>
      </c>
      <c r="G160" t="s">
        <v>9</v>
      </c>
    </row>
    <row r="161" spans="1:7" x14ac:dyDescent="0.25">
      <c r="A161" t="s">
        <v>264</v>
      </c>
      <c r="B161" s="3">
        <v>200</v>
      </c>
      <c r="C161" t="s">
        <v>20</v>
      </c>
      <c r="D161" t="s">
        <v>263</v>
      </c>
      <c r="E161" t="s">
        <v>15</v>
      </c>
      <c r="F161" t="s">
        <v>33</v>
      </c>
      <c r="G161" t="s">
        <v>9</v>
      </c>
    </row>
    <row r="162" spans="1:7" x14ac:dyDescent="0.25">
      <c r="A162" t="s">
        <v>265</v>
      </c>
      <c r="B162" s="2" t="s">
        <v>97</v>
      </c>
      <c r="C162" t="s">
        <v>41</v>
      </c>
      <c r="D162" t="s">
        <v>263</v>
      </c>
      <c r="E162" t="s">
        <v>15</v>
      </c>
      <c r="F162" t="s">
        <v>16</v>
      </c>
      <c r="G162" t="s">
        <v>9</v>
      </c>
    </row>
    <row r="163" spans="1:7" x14ac:dyDescent="0.25">
      <c r="A163" t="s">
        <v>266</v>
      </c>
      <c r="B163" s="3">
        <v>1</v>
      </c>
      <c r="C163" t="s">
        <v>44</v>
      </c>
      <c r="D163" t="s">
        <v>263</v>
      </c>
      <c r="E163" t="s">
        <v>15</v>
      </c>
      <c r="F163" t="s">
        <v>33</v>
      </c>
      <c r="G163" t="s">
        <v>9</v>
      </c>
    </row>
    <row r="164" spans="1:7" x14ac:dyDescent="0.25">
      <c r="A164" t="s">
        <v>267</v>
      </c>
      <c r="B164" s="3">
        <v>12</v>
      </c>
      <c r="C164" t="s">
        <v>44</v>
      </c>
      <c r="D164" t="s">
        <v>263</v>
      </c>
      <c r="E164" t="s">
        <v>15</v>
      </c>
      <c r="F164" t="s">
        <v>33</v>
      </c>
      <c r="G164" t="s">
        <v>9</v>
      </c>
    </row>
    <row r="165" spans="1:7" x14ac:dyDescent="0.25">
      <c r="A165" t="s">
        <v>268</v>
      </c>
      <c r="B165" s="3">
        <v>0.03</v>
      </c>
      <c r="C165" t="s">
        <v>145</v>
      </c>
      <c r="D165" t="s">
        <v>269</v>
      </c>
      <c r="E165" t="s">
        <v>15</v>
      </c>
      <c r="F165" t="s">
        <v>33</v>
      </c>
      <c r="G165" t="s">
        <v>9</v>
      </c>
    </row>
    <row r="166" spans="1:7" x14ac:dyDescent="0.25">
      <c r="A166" t="s">
        <v>270</v>
      </c>
      <c r="B166" s="3">
        <v>75</v>
      </c>
      <c r="C166" t="s">
        <v>271</v>
      </c>
      <c r="D166" t="s">
        <v>272</v>
      </c>
      <c r="E166" t="s">
        <v>15</v>
      </c>
      <c r="F166" t="s">
        <v>33</v>
      </c>
      <c r="G166" t="s">
        <v>9</v>
      </c>
    </row>
    <row r="167" spans="1:7" x14ac:dyDescent="0.25">
      <c r="A167" t="s">
        <v>273</v>
      </c>
      <c r="B167" s="3">
        <v>0</v>
      </c>
      <c r="C167" t="s">
        <v>274</v>
      </c>
      <c r="D167" t="s">
        <v>275</v>
      </c>
      <c r="E167" t="s">
        <v>15</v>
      </c>
      <c r="F167" t="s">
        <v>27</v>
      </c>
      <c r="G167" t="s">
        <v>9</v>
      </c>
    </row>
    <row r="168" spans="1:7" x14ac:dyDescent="0.25">
      <c r="A168" t="s">
        <v>276</v>
      </c>
      <c r="B168" s="3">
        <v>0.35</v>
      </c>
      <c r="C168" t="s">
        <v>277</v>
      </c>
      <c r="D168" t="s">
        <v>278</v>
      </c>
      <c r="E168" t="s">
        <v>15</v>
      </c>
      <c r="F168" t="s">
        <v>33</v>
      </c>
      <c r="G168" t="s">
        <v>9</v>
      </c>
    </row>
    <row r="169" spans="1:7" x14ac:dyDescent="0.25">
      <c r="A169" t="s">
        <v>279</v>
      </c>
      <c r="B169" s="3">
        <v>0.05</v>
      </c>
      <c r="C169" t="s">
        <v>280</v>
      </c>
      <c r="D169" t="s">
        <v>281</v>
      </c>
      <c r="E169" t="s">
        <v>15</v>
      </c>
      <c r="F169" t="s">
        <v>33</v>
      </c>
      <c r="G169" t="s">
        <v>9</v>
      </c>
    </row>
    <row r="170" spans="1:7" x14ac:dyDescent="0.25">
      <c r="A170" t="s">
        <v>282</v>
      </c>
      <c r="B170" s="3">
        <v>0.006</v>
      </c>
      <c r="C170" t="s">
        <v>280</v>
      </c>
      <c r="D170" t="s">
        <v>283</v>
      </c>
      <c r="E170" t="s">
        <v>15</v>
      </c>
      <c r="F170" t="s">
        <v>33</v>
      </c>
      <c r="G170" t="s">
        <v>9</v>
      </c>
    </row>
    <row r="171" spans="1:7" x14ac:dyDescent="0.25">
      <c r="A171" t="s">
        <v>284</v>
      </c>
      <c r="B171" s="3">
        <v>9600</v>
      </c>
      <c r="C171" t="s">
        <v>285</v>
      </c>
      <c r="D171" t="s">
        <v>286</v>
      </c>
      <c r="E171" t="s">
        <v>15</v>
      </c>
      <c r="F171" t="s">
        <v>27</v>
      </c>
      <c r="G171" t="s">
        <v>9</v>
      </c>
    </row>
    <row r="172" spans="1:7" x14ac:dyDescent="0.25">
      <c r="A172" t="s">
        <v>287</v>
      </c>
      <c r="B172" s="3">
        <v>0.05</v>
      </c>
      <c r="C172" t="s">
        <v>288</v>
      </c>
      <c r="D172" t="s">
        <v>289</v>
      </c>
      <c r="E172" t="s">
        <v>15</v>
      </c>
      <c r="F172" t="s">
        <v>33</v>
      </c>
      <c r="G172" t="s">
        <v>9</v>
      </c>
    </row>
    <row r="173" spans="1:7" x14ac:dyDescent="0.25">
      <c r="A173" t="s">
        <v>290</v>
      </c>
      <c r="B173" s="3">
        <v>12</v>
      </c>
      <c r="C173" t="s">
        <v>291</v>
      </c>
      <c r="D173" t="s">
        <v>292</v>
      </c>
      <c r="E173" t="s">
        <v>15</v>
      </c>
      <c r="F173" t="s">
        <v>27</v>
      </c>
      <c r="G173" t="s">
        <v>9</v>
      </c>
    </row>
  </sheetData>
  <autoFilter ref="A1:G1"/>
  <dataValidations count="1">
    <dataValidation type="list" sqref="B2">
      <formula1>"Base,Upside,Downside"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293</v>
      </c>
      <c r="B1" s="1" t="s">
        <v>8</v>
      </c>
      <c r="C1" s="1" t="s">
        <v>294</v>
      </c>
      <c r="D1" s="1" t="s">
        <v>295</v>
      </c>
    </row>
    <row r="2" spans="1:4" x14ac:dyDescent="0.25">
      <c r="A2" t="s">
        <v>296</v>
      </c>
      <c r="B2" s="4">
        <v>378843.46</v>
      </c>
      <c r="C2" s="4">
        <v>922560.21</v>
      </c>
      <c r="D2" s="4">
        <v>107510.69</v>
      </c>
    </row>
    <row r="3" spans="1:4" x14ac:dyDescent="0.25">
      <c r="A3" t="s">
        <v>297</v>
      </c>
      <c r="B3" s="4">
        <v>31600.26</v>
      </c>
      <c r="C3" s="4">
        <v>309645.48</v>
      </c>
      <c r="D3" s="4">
        <v>-4471.88</v>
      </c>
    </row>
    <row r="4" spans="1:4" x14ac:dyDescent="0.25">
      <c r="A4" t="s">
        <v>298</v>
      </c>
      <c r="B4" s="4">
        <v>29068.73</v>
      </c>
      <c r="C4" s="4">
        <v>32738.39</v>
      </c>
      <c r="D4" s="4">
        <v>31556.91</v>
      </c>
    </row>
    <row r="5" spans="1:4" x14ac:dyDescent="0.25">
      <c r="A5" t="s">
        <v>299</v>
      </c>
      <c r="B5" s="4">
        <v>7</v>
      </c>
      <c r="C5" s="4">
        <v>4</v>
      </c>
      <c r="D5" s="4">
        <v>15</v>
      </c>
    </row>
    <row r="6" spans="1:4" x14ac:dyDescent="0.25">
      <c r="A6" t="s">
        <v>300</v>
      </c>
      <c r="B6" s="4">
        <v>0.89</v>
      </c>
      <c r="C6" s="4">
        <v>0.91</v>
      </c>
      <c r="D6" s="4">
        <v>0.79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301</v>
      </c>
      <c r="B1" s="1" t="s">
        <v>302</v>
      </c>
      <c r="C1" s="1" t="s">
        <v>303</v>
      </c>
      <c r="D1" s="1" t="s">
        <v>304</v>
      </c>
      <c r="E1" s="1" t="s">
        <v>305</v>
      </c>
      <c r="F1" s="1" t="s">
        <v>306</v>
      </c>
    </row>
    <row r="2" spans="1:6" x14ac:dyDescent="0.25">
      <c r="A2" t="s">
        <v>24</v>
      </c>
      <c r="B2" s="4">
        <v>0.35</v>
      </c>
      <c r="C2" s="4">
        <v>0.35</v>
      </c>
      <c r="D2" s="5">
        <f>CHOOSE(MATCH(ScenarioSelector,{"Base","Upside","Downside"},0),280,458.33,120)</f>
        <v>280</v>
      </c>
      <c r="E2" s="5">
        <f>CHOOSE(MATCH(ScenarioSelector,{"Base","Upside","Downside"},0),34.65,43.75,25.6)</f>
        <v>34.65</v>
      </c>
      <c r="F2" s="5">
        <f>D2-E2</f>
        <v>245.35</v>
      </c>
    </row>
    <row r="3" spans="1:6" x14ac:dyDescent="0.25">
      <c r="A3" t="s">
        <v>307</v>
      </c>
      <c r="B3" s="4">
        <v>0.72</v>
      </c>
      <c r="C3" s="4">
        <v>0.37</v>
      </c>
      <c r="D3" s="5">
        <f>CHOOSE(MATCH(ScenarioSelector,{"Base","Upside","Downside"},0),574.65,953.01,242.56)</f>
        <v>574.65</v>
      </c>
      <c r="E3" s="5">
        <f>CHOOSE(MATCH(ScenarioSelector,{"Base","Upside","Downside"},0),70.89,90.57,51.67)</f>
        <v>70.89</v>
      </c>
      <c r="F3" s="5">
        <f>D3-E3</f>
        <v>503.76</v>
      </c>
    </row>
    <row r="4" spans="1:6" x14ac:dyDescent="0.25">
      <c r="A4" t="s">
        <v>308</v>
      </c>
      <c r="B4" s="4">
        <v>1.1</v>
      </c>
      <c r="C4" s="4">
        <v>0.39</v>
      </c>
      <c r="D4" s="5">
        <f>CHOOSE(MATCH(ScenarioSelector,{"Base","Upside","Downside"},0),884.75,1486.82,367.77)</f>
        <v>884.75</v>
      </c>
      <c r="E4" s="5">
        <f>CHOOSE(MATCH(ScenarioSelector,{"Base","Upside","Downside"},0),108.82,140.68,78.24)</f>
        <v>108.82</v>
      </c>
      <c r="F4" s="5">
        <f>D4-E4</f>
        <v>775.94</v>
      </c>
    </row>
    <row r="5" spans="1:6" x14ac:dyDescent="0.25">
      <c r="A5" t="s">
        <v>309</v>
      </c>
      <c r="B5" s="4">
        <v>1.5</v>
      </c>
      <c r="C5" s="4">
        <v>0.41</v>
      </c>
      <c r="D5" s="5">
        <f>CHOOSE(MATCH(ScenarioSelector,{"Base","Upside","Downside"},0),1211.14,2062.79,495.74)</f>
        <v>1211.14</v>
      </c>
      <c r="E5" s="5">
        <f>CHOOSE(MATCH(ScenarioSelector,{"Base","Upside","Downside"},0),148.5,194.33,105.31)</f>
        <v>148.5</v>
      </c>
      <c r="F5" s="5">
        <f>D5-E5</f>
        <v>1062.64</v>
      </c>
    </row>
    <row r="6" spans="1:6" x14ac:dyDescent="0.25">
      <c r="A6" t="s">
        <v>310</v>
      </c>
      <c r="B6" s="4">
        <v>1.91</v>
      </c>
      <c r="C6" s="4">
        <v>0.43</v>
      </c>
      <c r="D6" s="5">
        <f>CHOOSE(MATCH(ScenarioSelector,{"Base","Upside","Downside"},0),1554.7,2684.15,626.55)</f>
        <v>1554.7</v>
      </c>
      <c r="E6" s="5">
        <f>CHOOSE(MATCH(ScenarioSelector,{"Base","Upside","Downside"},0),190.04,251.76,132.91)</f>
        <v>190.04</v>
      </c>
      <c r="F6" s="5">
        <f>D6-E6</f>
        <v>1364.66</v>
      </c>
    </row>
    <row r="7" spans="1:6" x14ac:dyDescent="0.25">
      <c r="A7" t="s">
        <v>311</v>
      </c>
      <c r="B7" s="4">
        <v>2.35</v>
      </c>
      <c r="C7" s="4">
        <v>0.45</v>
      </c>
      <c r="D7" s="5">
        <f>CHOOSE(MATCH(ScenarioSelector,{"Base","Upside","Downside"},0),1916.36,3354.4,760.32)</f>
        <v>1916.36</v>
      </c>
      <c r="E7" s="5">
        <f>CHOOSE(MATCH(ScenarioSelector,{"Base","Upside","Downside"},0),233.53,313.26,161.06)</f>
        <v>233.53</v>
      </c>
      <c r="F7" s="5">
        <f>D7-E7</f>
        <v>1682.83</v>
      </c>
    </row>
    <row r="8" spans="1:6" x14ac:dyDescent="0.25">
      <c r="A8" t="s">
        <v>312</v>
      </c>
      <c r="B8" s="4">
        <v>2.8</v>
      </c>
      <c r="C8" s="4">
        <v>0.47</v>
      </c>
      <c r="D8" s="5">
        <f>CHOOSE(MATCH(ScenarioSelector,{"Base","Upside","Downside"},0),2297.12,4077.3,897.15)</f>
        <v>2297.12</v>
      </c>
      <c r="E8" s="5">
        <f>CHOOSE(MATCH(ScenarioSelector,{"Base","Upside","Downside"},0),279.08,379.12,189.77)</f>
        <v>279.08</v>
      </c>
      <c r="F8" s="5">
        <f>D8-E8</f>
        <v>2018.04</v>
      </c>
    </row>
    <row r="9" spans="1:6" x14ac:dyDescent="0.25">
      <c r="A9" t="s">
        <v>313</v>
      </c>
      <c r="B9" s="4">
        <v>3.28</v>
      </c>
      <c r="C9" s="4">
        <v>0.49</v>
      </c>
      <c r="D9" s="5">
        <f>CHOOSE(MATCH(ScenarioSelector,{"Base","Upside","Downside"},0),2698,4856.89,1037.15)</f>
        <v>2698</v>
      </c>
      <c r="E9" s="5">
        <f>CHOOSE(MATCH(ScenarioSelector,{"Base","Upside","Downside"},0),326.78,449.66,219.07)</f>
        <v>326.78</v>
      </c>
      <c r="F9" s="5">
        <f>D9-E9</f>
        <v>2371.22</v>
      </c>
    </row>
    <row r="10" spans="1:6" x14ac:dyDescent="0.25">
      <c r="A10" t="s">
        <v>314</v>
      </c>
      <c r="B10" s="4">
        <v>3.78</v>
      </c>
      <c r="C10" s="4">
        <v>0.52</v>
      </c>
      <c r="D10" s="5">
        <f>CHOOSE(MATCH(ScenarioSelector,{"Base","Upside","Downside"},0),3120.11,5697.55,1180.43)</f>
        <v>3120.11</v>
      </c>
      <c r="E10" s="5">
        <f>CHOOSE(MATCH(ScenarioSelector,{"Base","Upside","Downside"},0),376.75,525.21,248.99)</f>
        <v>376.75</v>
      </c>
      <c r="F10" s="5">
        <f>D10-E10</f>
        <v>2743.35</v>
      </c>
    </row>
    <row r="11" spans="1:6" x14ac:dyDescent="0.25">
      <c r="A11" t="s">
        <v>315</v>
      </c>
      <c r="B11" s="4">
        <v>4.3</v>
      </c>
      <c r="C11" s="4">
        <v>0.54</v>
      </c>
      <c r="D11" s="5">
        <f>CHOOSE(MATCH(ScenarioSelector,{"Base","Upside","Downside"},0),3564.58,6603.97,1327.11)</f>
        <v>3564.58</v>
      </c>
      <c r="E11" s="5">
        <f>CHOOSE(MATCH(ScenarioSelector,{"Base","Upside","Downside"},0),429.11,606.13,279.53)</f>
        <v>429.11</v>
      </c>
      <c r="F11" s="5">
        <f>D11-E11</f>
        <v>3135.47</v>
      </c>
    </row>
    <row r="12" spans="1:6" x14ac:dyDescent="0.25">
      <c r="A12" t="s">
        <v>316</v>
      </c>
      <c r="B12" s="4">
        <v>4.84</v>
      </c>
      <c r="C12" s="4">
        <v>0.57</v>
      </c>
      <c r="D12" s="5">
        <f>CHOOSE(MATCH(ScenarioSelector,{"Base","Upside","Downside"},0),4032.65,7581.2,1477.3)</f>
        <v>4032.65</v>
      </c>
      <c r="E12" s="5">
        <f>CHOOSE(MATCH(ScenarioSelector,{"Base","Upside","Downside"},0),483.98,692.83,310.72)</f>
        <v>483.98</v>
      </c>
      <c r="F12" s="5">
        <f>D12-E12</f>
        <v>3548.67</v>
      </c>
    </row>
    <row r="13" spans="1:6" x14ac:dyDescent="0.25">
      <c r="A13" t="s">
        <v>317</v>
      </c>
      <c r="B13" s="4">
        <v>5.41</v>
      </c>
      <c r="C13" s="4">
        <v>0.6</v>
      </c>
      <c r="D13" s="5">
        <f>CHOOSE(MATCH(ScenarioSelector,{"Base","Upside","Downside"},0),4525.58,8634.7,1631.13)</f>
        <v>4525.58</v>
      </c>
      <c r="E13" s="5">
        <f>CHOOSE(MATCH(ScenarioSelector,{"Base","Upside","Downside"},0),541.48,785.72,342.6)</f>
        <v>541.48</v>
      </c>
      <c r="F13" s="5">
        <f>D13-E13</f>
        <v>3984.1</v>
      </c>
    </row>
    <row r="14" spans="1:6" x14ac:dyDescent="0.25">
      <c r="A14" t="s">
        <v>318</v>
      </c>
      <c r="B14" s="4">
        <v>6.01</v>
      </c>
      <c r="C14" s="4">
        <v>0.63</v>
      </c>
      <c r="D14" s="5">
        <f>CHOOSE(MATCH(ScenarioSelector,{"Base","Upside","Downside"},0),5044.74,9770.33,1788.73)</f>
        <v>5044.74</v>
      </c>
      <c r="E14" s="5">
        <f>CHOOSE(MATCH(ScenarioSelector,{"Base","Upside","Downside"},0),601.76,885.25,375.17)</f>
        <v>601.76</v>
      </c>
      <c r="F14" s="5">
        <f>D14-E14</f>
        <v>4442.97</v>
      </c>
    </row>
    <row r="15" spans="1:6" x14ac:dyDescent="0.25">
      <c r="A15" t="s">
        <v>319</v>
      </c>
      <c r="B15" s="4">
        <v>6.63</v>
      </c>
      <c r="C15" s="4">
        <v>0.66</v>
      </c>
      <c r="D15" s="5">
        <f>CHOOSE(MATCH(ScenarioSelector,{"Base","Upside","Downside"},0),5591.54,10994.41,1950.23)</f>
        <v>5591.54</v>
      </c>
      <c r="E15" s="5">
        <f>CHOOSE(MATCH(ScenarioSelector,{"Base","Upside","Downside"},0),664.96,991.9,408.46)</f>
        <v>664.96</v>
      </c>
      <c r="F15" s="5">
        <f>D15-E15</f>
        <v>4926.57</v>
      </c>
    </row>
    <row r="16" spans="1:6" x14ac:dyDescent="0.25">
      <c r="A16" t="s">
        <v>320</v>
      </c>
      <c r="B16" s="4">
        <v>7.28</v>
      </c>
      <c r="C16" s="4">
        <v>0.69</v>
      </c>
      <c r="D16" s="5">
        <f>CHOOSE(MATCH(ScenarioSelector,{"Base","Upside","Downside"},0),6167.48,12313.74,2115.77)</f>
        <v>6167.48</v>
      </c>
      <c r="E16" s="5">
        <f>CHOOSE(MATCH(ScenarioSelector,{"Base","Upside","Downside"},0),731.23,1106.19,442.5)</f>
        <v>731.23</v>
      </c>
      <c r="F16" s="5">
        <f>D16-E16</f>
        <v>5436.25</v>
      </c>
    </row>
    <row r="17" spans="1:6" x14ac:dyDescent="0.25">
      <c r="A17" t="s">
        <v>321</v>
      </c>
      <c r="B17" s="4">
        <v>7.97</v>
      </c>
      <c r="C17" s="4">
        <v>0.73</v>
      </c>
      <c r="D17" s="5">
        <f>CHOOSE(MATCH(ScenarioSelector,{"Base","Upside","Downside"},0),6774.16,13735.65,2285.47)</f>
        <v>6774.16</v>
      </c>
      <c r="E17" s="5">
        <f>CHOOSE(MATCH(ScenarioSelector,{"Base","Upside","Downside"},0),800.73,1228.67,477.32)</f>
        <v>800.73</v>
      </c>
      <c r="F17" s="5">
        <f>D17-E17</f>
        <v>5973.43</v>
      </c>
    </row>
    <row r="18" spans="1:6" x14ac:dyDescent="0.25">
      <c r="A18" t="s">
        <v>322</v>
      </c>
      <c r="B18" s="4">
        <v>8.68</v>
      </c>
      <c r="C18" s="4">
        <v>0.76</v>
      </c>
      <c r="D18" s="5">
        <f>CHOOSE(MATCH(ScenarioSelector,{"Base","Upside","Downside"},0),7413.24,15268.02,2459.49)</f>
        <v>7413.24</v>
      </c>
      <c r="E18" s="5">
        <f>CHOOSE(MATCH(ScenarioSelector,{"Base","Upside","Downside"},0),873.62,1359.94,512.94)</f>
        <v>873.62</v>
      </c>
      <c r="F18" s="5">
        <f>D18-E18</f>
        <v>6539.62</v>
      </c>
    </row>
    <row r="19" spans="1:6" x14ac:dyDescent="0.25">
      <c r="A19" t="s">
        <v>323</v>
      </c>
      <c r="B19" s="4">
        <v>9.43</v>
      </c>
      <c r="C19" s="4">
        <v>0.8</v>
      </c>
      <c r="D19" s="5">
        <f>CHOOSE(MATCH(ScenarioSelector,{"Base","Upside","Downside"},0),8086.47,16919.36,2637.98)</f>
        <v>8086.47</v>
      </c>
      <c r="E19" s="5">
        <f>CHOOSE(MATCH(ScenarioSelector,{"Base","Upside","Downside"},0),950.07,1500.64,549.39)</f>
        <v>950.07</v>
      </c>
      <c r="F19" s="5">
        <f>D19-E19</f>
        <v>7136.4</v>
      </c>
    </row>
    <row r="20" spans="1:6" x14ac:dyDescent="0.25">
      <c r="A20" t="s">
        <v>324</v>
      </c>
      <c r="B20" s="4">
        <v>10.22</v>
      </c>
      <c r="C20" s="4">
        <v>0.84</v>
      </c>
      <c r="D20" s="5">
        <f>CHOOSE(MATCH(ScenarioSelector,{"Base","Upside","Downside"},0),8795.72,18698.8,2821.08)</f>
        <v>8795.72</v>
      </c>
      <c r="E20" s="5">
        <f>CHOOSE(MATCH(ScenarioSelector,{"Base","Upside","Downside"},0),1030.28,1651.44,586.69)</f>
        <v>1030.28</v>
      </c>
      <c r="F20" s="5">
        <f>D20-E20</f>
        <v>7765.44</v>
      </c>
    </row>
    <row r="21" spans="1:6" x14ac:dyDescent="0.25">
      <c r="A21" t="s">
        <v>325</v>
      </c>
      <c r="B21" s="4">
        <v>11.04</v>
      </c>
      <c r="C21" s="4">
        <v>0.88</v>
      </c>
      <c r="D21" s="5">
        <f>CHOOSE(MATCH(ScenarioSelector,{"Base","Upside","Downside"},0),9542.94,20616.22,3008.95)</f>
        <v>9542.94</v>
      </c>
      <c r="E21" s="5">
        <f>CHOOSE(MATCH(ScenarioSelector,{"Base","Upside","Downside"},0),1114.43,1813.1,624.88)</f>
        <v>1114.43</v>
      </c>
      <c r="F21" s="5">
        <f>D21-E21</f>
        <v>8428.51</v>
      </c>
    </row>
    <row r="22" spans="1:6" x14ac:dyDescent="0.25">
      <c r="A22" t="s">
        <v>326</v>
      </c>
      <c r="B22" s="4">
        <v>11.9</v>
      </c>
      <c r="C22" s="4">
        <v>0.93</v>
      </c>
      <c r="D22" s="5">
        <f>CHOOSE(MATCH(ScenarioSelector,{"Base","Upside","Downside"},0),10330.18,22682.2,3201.76)</f>
        <v>10330.18</v>
      </c>
      <c r="E22" s="5">
        <f>CHOOSE(MATCH(ScenarioSelector,{"Base","Upside","Downside"},0),1202.73,1986.39,663.98)</f>
        <v>1202.73</v>
      </c>
      <c r="F22" s="5">
        <f>D22-E22</f>
        <v>9127.46</v>
      </c>
    </row>
    <row r="23" spans="1:6" x14ac:dyDescent="0.25">
      <c r="A23" t="s">
        <v>327</v>
      </c>
      <c r="B23" s="4">
        <v>12.81</v>
      </c>
      <c r="C23" s="4">
        <v>0.98</v>
      </c>
      <c r="D23" s="5">
        <f>CHOOSE(MATCH(ScenarioSelector,{"Base","Upside","Downside"},0),11159.64,24908.19,3399.67)</f>
        <v>11159.64</v>
      </c>
      <c r="E23" s="5">
        <f>CHOOSE(MATCH(ScenarioSelector,{"Base","Upside","Downside"},0),1295.38,2172.17,704.03)</f>
        <v>1295.38</v>
      </c>
      <c r="F23" s="5">
        <f>D23-E23</f>
        <v>9864.25</v>
      </c>
    </row>
    <row r="24" spans="1:6" x14ac:dyDescent="0.25">
      <c r="A24" t="s">
        <v>328</v>
      </c>
      <c r="B24" s="4">
        <v>13.75</v>
      </c>
      <c r="C24" s="4">
        <v>1.02</v>
      </c>
      <c r="D24" s="5">
        <f>CHOOSE(MATCH(ScenarioSelector,{"Base","Upside","Downside"},0),12033.59,27306.49,3602.85)</f>
        <v>12033.59</v>
      </c>
      <c r="E24" s="5">
        <f>CHOOSE(MATCH(ScenarioSelector,{"Base","Upside","Downside"},0),1392.63,2371.33,745.06)</f>
        <v>1392.63</v>
      </c>
      <c r="F24" s="5">
        <f>D24-E24</f>
        <v>10640.96</v>
      </c>
    </row>
    <row r="25" spans="1:6" x14ac:dyDescent="0.25">
      <c r="A25" t="s">
        <v>329</v>
      </c>
      <c r="B25" s="4">
        <v>14.75</v>
      </c>
      <c r="C25" s="4">
        <v>1.08</v>
      </c>
      <c r="D25" s="5">
        <f>CHOOSE(MATCH(ScenarioSelector,{"Base","Upside","Downside"},0),12954.45,29890.33,3811.49)</f>
        <v>12954.45</v>
      </c>
      <c r="E25" s="5">
        <f>CHOOSE(MATCH(ScenarioSelector,{"Base","Upside","Downside"},0),1494.69,2584.85,787.09)</f>
        <v>1494.69</v>
      </c>
      <c r="F25" s="5">
        <f>D25-E25</f>
        <v>11459.76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301</v>
      </c>
      <c r="B1" s="1" t="s">
        <v>330</v>
      </c>
      <c r="C1" s="1" t="s">
        <v>331</v>
      </c>
      <c r="D1" s="1" t="s">
        <v>332</v>
      </c>
    </row>
    <row r="2" spans="1:4" x14ac:dyDescent="0.25">
      <c r="A2" t="s">
        <v>24</v>
      </c>
      <c r="B2" s="5">
        <f>CHOOSE(MATCH(ScenarioSelector,{"Base","Upside","Downside"},0),1,1,1)</f>
        <v>1</v>
      </c>
      <c r="C2" s="5">
        <f>CHOOSE(MATCH(ScenarioSelector,{"Base","Upside","Downside"},0),0,0,0)</f>
        <v>0</v>
      </c>
      <c r="D2" s="5">
        <f>CHOOSE(MATCH(ScenarioSelector,{"Base","Upside","Downside"},0),17625,17625,17625)</f>
        <v>17625</v>
      </c>
    </row>
    <row r="3" spans="1:4" x14ac:dyDescent="0.25">
      <c r="A3" t="s">
        <v>307</v>
      </c>
      <c r="B3" s="5">
        <f>CHOOSE(MATCH(ScenarioSelector,{"Base","Upside","Downside"},0),1,1,1)</f>
        <v>1</v>
      </c>
      <c r="C3" s="5">
        <f>CHOOSE(MATCH(ScenarioSelector,{"Base","Upside","Downside"},0),0,0,0)</f>
        <v>0</v>
      </c>
      <c r="D3" s="5">
        <f>CHOOSE(MATCH(ScenarioSelector,{"Base","Upside","Downside"},0),15125,15125,15125)</f>
        <v>15125</v>
      </c>
    </row>
    <row r="4" spans="1:4" x14ac:dyDescent="0.25">
      <c r="A4" t="s">
        <v>308</v>
      </c>
      <c r="B4" s="5">
        <f>CHOOSE(MATCH(ScenarioSelector,{"Base","Upside","Downside"},0),1,1,1)</f>
        <v>1</v>
      </c>
      <c r="C4" s="5">
        <f>CHOOSE(MATCH(ScenarioSelector,{"Base","Upside","Downside"},0),0,0,0)</f>
        <v>0</v>
      </c>
      <c r="D4" s="5">
        <f>CHOOSE(MATCH(ScenarioSelector,{"Base","Upside","Downside"},0),15125,15125,15125)</f>
        <v>15125</v>
      </c>
    </row>
    <row r="5" spans="1:4" x14ac:dyDescent="0.25">
      <c r="A5" t="s">
        <v>309</v>
      </c>
      <c r="B5" s="5">
        <f>CHOOSE(MATCH(ScenarioSelector,{"Base","Upside","Downside"},0),1,1,1)</f>
        <v>1</v>
      </c>
      <c r="C5" s="5">
        <f>CHOOSE(MATCH(ScenarioSelector,{"Base","Upside","Downside"},0),0,0,0)</f>
        <v>0</v>
      </c>
      <c r="D5" s="5">
        <f>CHOOSE(MATCH(ScenarioSelector,{"Base","Upside","Downside"},0),15125,15125,15125)</f>
        <v>15125</v>
      </c>
    </row>
    <row r="6" spans="1:4" x14ac:dyDescent="0.25">
      <c r="A6" t="s">
        <v>310</v>
      </c>
      <c r="B6" s="5">
        <f>CHOOSE(MATCH(ScenarioSelector,{"Base","Upside","Downside"},0),1,1,1)</f>
        <v>1</v>
      </c>
      <c r="C6" s="5">
        <f>CHOOSE(MATCH(ScenarioSelector,{"Base","Upside","Downside"},0),0,0,0)</f>
        <v>0</v>
      </c>
      <c r="D6" s="5">
        <f>CHOOSE(MATCH(ScenarioSelector,{"Base","Upside","Downside"},0),15125,15125,15125)</f>
        <v>15125</v>
      </c>
    </row>
    <row r="7" spans="1:4" x14ac:dyDescent="0.25">
      <c r="A7" t="s">
        <v>311</v>
      </c>
      <c r="B7" s="5">
        <f>CHOOSE(MATCH(ScenarioSelector,{"Base","Upside","Downside"},0),1,1,1)</f>
        <v>1</v>
      </c>
      <c r="C7" s="5">
        <f>CHOOSE(MATCH(ScenarioSelector,{"Base","Upside","Downside"},0),0,0,0)</f>
        <v>0</v>
      </c>
      <c r="D7" s="5">
        <f>CHOOSE(MATCH(ScenarioSelector,{"Base","Upside","Downside"},0),15125,15125,15125)</f>
        <v>15125</v>
      </c>
    </row>
    <row r="8" spans="1:4" x14ac:dyDescent="0.25">
      <c r="A8" t="s">
        <v>312</v>
      </c>
      <c r="B8" s="5">
        <f>CHOOSE(MATCH(ScenarioSelector,{"Base","Upside","Downside"},0),1,2,1)</f>
        <v>1</v>
      </c>
      <c r="C8" s="5">
        <f>CHOOSE(MATCH(ScenarioSelector,{"Base","Upside","Downside"},0),0,6000,0)</f>
        <v>0</v>
      </c>
      <c r="D8" s="5">
        <f>CHOOSE(MATCH(ScenarioSelector,{"Base","Upside","Downside"},0),15125,15125,15125)</f>
        <v>15125</v>
      </c>
    </row>
    <row r="9" spans="1:4" x14ac:dyDescent="0.25">
      <c r="A9" t="s">
        <v>313</v>
      </c>
      <c r="B9" s="5">
        <f>CHOOSE(MATCH(ScenarioSelector,{"Base","Upside","Downside"},0),1,2,1)</f>
        <v>1</v>
      </c>
      <c r="C9" s="5">
        <f>CHOOSE(MATCH(ScenarioSelector,{"Base","Upside","Downside"},0),0,6000,0)</f>
        <v>0</v>
      </c>
      <c r="D9" s="5">
        <f>CHOOSE(MATCH(ScenarioSelector,{"Base","Upside","Downside"},0),15125,15125,15125)</f>
        <v>15125</v>
      </c>
    </row>
    <row r="10" spans="1:4" x14ac:dyDescent="0.25">
      <c r="A10" t="s">
        <v>314</v>
      </c>
      <c r="B10" s="5">
        <f>CHOOSE(MATCH(ScenarioSelector,{"Base","Upside","Downside"},0),1,2,1)</f>
        <v>1</v>
      </c>
      <c r="C10" s="5">
        <f>CHOOSE(MATCH(ScenarioSelector,{"Base","Upside","Downside"},0),0,6000,0)</f>
        <v>0</v>
      </c>
      <c r="D10" s="5">
        <f>CHOOSE(MATCH(ScenarioSelector,{"Base","Upside","Downside"},0),15125,15125,15125)</f>
        <v>15125</v>
      </c>
    </row>
    <row r="11" spans="1:4" x14ac:dyDescent="0.25">
      <c r="A11" t="s">
        <v>315</v>
      </c>
      <c r="B11" s="5">
        <f>CHOOSE(MATCH(ScenarioSelector,{"Base","Upside","Downside"},0),1,2,1)</f>
        <v>1</v>
      </c>
      <c r="C11" s="5">
        <f>CHOOSE(MATCH(ScenarioSelector,{"Base","Upside","Downside"},0),0,6000,0)</f>
        <v>0</v>
      </c>
      <c r="D11" s="5">
        <f>CHOOSE(MATCH(ScenarioSelector,{"Base","Upside","Downside"},0),15125,15125,15125)</f>
        <v>15125</v>
      </c>
    </row>
    <row r="12" spans="1:4" x14ac:dyDescent="0.25">
      <c r="A12" t="s">
        <v>316</v>
      </c>
      <c r="B12" s="5">
        <f>CHOOSE(MATCH(ScenarioSelector,{"Base","Upside","Downside"},0),1,2,1)</f>
        <v>1</v>
      </c>
      <c r="C12" s="5">
        <f>CHOOSE(MATCH(ScenarioSelector,{"Base","Upside","Downside"},0),0,6000,0)</f>
        <v>0</v>
      </c>
      <c r="D12" s="5">
        <f>CHOOSE(MATCH(ScenarioSelector,{"Base","Upside","Downside"},0),15125,15125,15125)</f>
        <v>15125</v>
      </c>
    </row>
    <row r="13" spans="1:4" x14ac:dyDescent="0.25">
      <c r="A13" t="s">
        <v>317</v>
      </c>
      <c r="B13" s="5">
        <f>CHOOSE(MATCH(ScenarioSelector,{"Base","Upside","Downside"},0),1,2,1)</f>
        <v>1</v>
      </c>
      <c r="C13" s="5">
        <f>CHOOSE(MATCH(ScenarioSelector,{"Base","Upside","Downside"},0),0,6000,0)</f>
        <v>0</v>
      </c>
      <c r="D13" s="5">
        <f>CHOOSE(MATCH(ScenarioSelector,{"Base","Upside","Downside"},0),15125,15125,15125)</f>
        <v>15125</v>
      </c>
    </row>
    <row r="14" spans="1:4" x14ac:dyDescent="0.25">
      <c r="A14" t="s">
        <v>318</v>
      </c>
      <c r="B14" s="5">
        <f>CHOOSE(MATCH(ScenarioSelector,{"Base","Upside","Downside"},0),2,2,1)</f>
        <v>2</v>
      </c>
      <c r="C14" s="5">
        <f>CHOOSE(MATCH(ScenarioSelector,{"Base","Upside","Downside"},0),6000,6000,0)</f>
        <v>6000</v>
      </c>
      <c r="D14" s="5">
        <f>CHOOSE(MATCH(ScenarioSelector,{"Base","Upside","Downside"},0),15125,15125,15125)</f>
        <v>15125</v>
      </c>
    </row>
    <row r="15" spans="1:4" x14ac:dyDescent="0.25">
      <c r="A15" t="s">
        <v>319</v>
      </c>
      <c r="B15" s="5">
        <f>CHOOSE(MATCH(ScenarioSelector,{"Base","Upside","Downside"},0),2,2,1)</f>
        <v>2</v>
      </c>
      <c r="C15" s="5">
        <f>CHOOSE(MATCH(ScenarioSelector,{"Base","Upside","Downside"},0),6000,6000,0)</f>
        <v>6000</v>
      </c>
      <c r="D15" s="5">
        <f>CHOOSE(MATCH(ScenarioSelector,{"Base","Upside","Downside"},0),15125,15125,15125)</f>
        <v>15125</v>
      </c>
    </row>
    <row r="16" spans="1:4" x14ac:dyDescent="0.25">
      <c r="A16" t="s">
        <v>320</v>
      </c>
      <c r="B16" s="5">
        <f>CHOOSE(MATCH(ScenarioSelector,{"Base","Upside","Downside"},0),2,2,1)</f>
        <v>2</v>
      </c>
      <c r="C16" s="5">
        <f>CHOOSE(MATCH(ScenarioSelector,{"Base","Upside","Downside"},0),6000,6000,0)</f>
        <v>6000</v>
      </c>
      <c r="D16" s="5">
        <f>CHOOSE(MATCH(ScenarioSelector,{"Base","Upside","Downside"},0),15125,15125,15125)</f>
        <v>15125</v>
      </c>
    </row>
    <row r="17" spans="1:4" x14ac:dyDescent="0.25">
      <c r="A17" t="s">
        <v>321</v>
      </c>
      <c r="B17" s="5">
        <f>CHOOSE(MATCH(ScenarioSelector,{"Base","Upside","Downside"},0),2,2,1)</f>
        <v>2</v>
      </c>
      <c r="C17" s="5">
        <f>CHOOSE(MATCH(ScenarioSelector,{"Base","Upside","Downside"},0),6000,15608.33,0)</f>
        <v>6000</v>
      </c>
      <c r="D17" s="5">
        <f>CHOOSE(MATCH(ScenarioSelector,{"Base","Upside","Downside"},0),15125,15125,15125)</f>
        <v>15125</v>
      </c>
    </row>
    <row r="18" spans="1:4" x14ac:dyDescent="0.25">
      <c r="A18" t="s">
        <v>322</v>
      </c>
      <c r="B18" s="5">
        <f>CHOOSE(MATCH(ScenarioSelector,{"Base","Upside","Downside"},0),2,2,1)</f>
        <v>2</v>
      </c>
      <c r="C18" s="5">
        <f>CHOOSE(MATCH(ScenarioSelector,{"Base","Upside","Downside"},0),6000,13108.33,0)</f>
        <v>6000</v>
      </c>
      <c r="D18" s="5">
        <f>CHOOSE(MATCH(ScenarioSelector,{"Base","Upside","Downside"},0),15125,15125,15125)</f>
        <v>15125</v>
      </c>
    </row>
    <row r="19" spans="1:4" x14ac:dyDescent="0.25">
      <c r="A19" t="s">
        <v>323</v>
      </c>
      <c r="B19" s="5">
        <f>CHOOSE(MATCH(ScenarioSelector,{"Base","Upside","Downside"},0),2,2,1)</f>
        <v>2</v>
      </c>
      <c r="C19" s="5">
        <f>CHOOSE(MATCH(ScenarioSelector,{"Base","Upside","Downside"},0),6000,13108.33,0)</f>
        <v>6000</v>
      </c>
      <c r="D19" s="5">
        <f>CHOOSE(MATCH(ScenarioSelector,{"Base","Upside","Downside"},0),15125,15125,15125)</f>
        <v>15125</v>
      </c>
    </row>
    <row r="20" spans="1:4" x14ac:dyDescent="0.25">
      <c r="A20" t="s">
        <v>324</v>
      </c>
      <c r="B20" s="5">
        <f>CHOOSE(MATCH(ScenarioSelector,{"Base","Upside","Downside"},0),2,2,1)</f>
        <v>2</v>
      </c>
      <c r="C20" s="5">
        <f>CHOOSE(MATCH(ScenarioSelector,{"Base","Upside","Downside"},0),6000,13108.33,0)</f>
        <v>6000</v>
      </c>
      <c r="D20" s="5">
        <f>CHOOSE(MATCH(ScenarioSelector,{"Base","Upside","Downside"},0),15125,15125,15125)</f>
        <v>15125</v>
      </c>
    </row>
    <row r="21" spans="1:4" x14ac:dyDescent="0.25">
      <c r="A21" t="s">
        <v>325</v>
      </c>
      <c r="B21" s="5">
        <f>CHOOSE(MATCH(ScenarioSelector,{"Base","Upside","Downside"},0),2,2,1)</f>
        <v>2</v>
      </c>
      <c r="C21" s="5">
        <f>CHOOSE(MATCH(ScenarioSelector,{"Base","Upside","Downside"},0),6000,13108.33,0)</f>
        <v>6000</v>
      </c>
      <c r="D21" s="5">
        <f>CHOOSE(MATCH(ScenarioSelector,{"Base","Upside","Downside"},0),15125,15125,15125)</f>
        <v>15125</v>
      </c>
    </row>
    <row r="22" spans="1:4" x14ac:dyDescent="0.25">
      <c r="A22" t="s">
        <v>326</v>
      </c>
      <c r="B22" s="5">
        <f>CHOOSE(MATCH(ScenarioSelector,{"Base","Upside","Downside"},0),2,2,1)</f>
        <v>2</v>
      </c>
      <c r="C22" s="5">
        <f>CHOOSE(MATCH(ScenarioSelector,{"Base","Upside","Downside"},0),6000,13108.33,0)</f>
        <v>6000</v>
      </c>
      <c r="D22" s="5">
        <f>CHOOSE(MATCH(ScenarioSelector,{"Base","Upside","Downside"},0),15125,15125,15125)</f>
        <v>15125</v>
      </c>
    </row>
    <row r="23" spans="1:4" x14ac:dyDescent="0.25">
      <c r="A23" t="s">
        <v>327</v>
      </c>
      <c r="B23" s="5">
        <f>CHOOSE(MATCH(ScenarioSelector,{"Base","Upside","Downside"},0),2,2,1)</f>
        <v>2</v>
      </c>
      <c r="C23" s="5">
        <f>CHOOSE(MATCH(ScenarioSelector,{"Base","Upside","Downside"},0),6000,13108.33,0)</f>
        <v>6000</v>
      </c>
      <c r="D23" s="5">
        <f>CHOOSE(MATCH(ScenarioSelector,{"Base","Upside","Downside"},0),15125,15125,15125)</f>
        <v>15125</v>
      </c>
    </row>
    <row r="24" spans="1:4" x14ac:dyDescent="0.25">
      <c r="A24" t="s">
        <v>328</v>
      </c>
      <c r="B24" s="5">
        <f>CHOOSE(MATCH(ScenarioSelector,{"Base","Upside","Downside"},0),2,2,1)</f>
        <v>2</v>
      </c>
      <c r="C24" s="5">
        <f>CHOOSE(MATCH(ScenarioSelector,{"Base","Upside","Downside"},0),6000,13108.33,0)</f>
        <v>6000</v>
      </c>
      <c r="D24" s="5">
        <f>CHOOSE(MATCH(ScenarioSelector,{"Base","Upside","Downside"},0),15125,15125,15125)</f>
        <v>15125</v>
      </c>
    </row>
    <row r="25" spans="1:4" x14ac:dyDescent="0.25">
      <c r="A25" t="s">
        <v>329</v>
      </c>
      <c r="B25" s="5">
        <f>CHOOSE(MATCH(ScenarioSelector,{"Base","Upside","Downside"},0),2,2,1)</f>
        <v>2</v>
      </c>
      <c r="C25" s="5">
        <f>CHOOSE(MATCH(ScenarioSelector,{"Base","Upside","Downside"},0),6000,13108.33,0)</f>
        <v>6000</v>
      </c>
      <c r="D25" s="5">
        <f>CHOOSE(MATCH(ScenarioSelector,{"Base","Upside","Downside"},0),15125,15125,15125)</f>
        <v>15125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301</v>
      </c>
      <c r="B1" s="1" t="s">
        <v>333</v>
      </c>
      <c r="C1" s="1" t="s">
        <v>334</v>
      </c>
      <c r="D1" s="1" t="s">
        <v>335</v>
      </c>
      <c r="E1" s="1" t="s">
        <v>336</v>
      </c>
      <c r="F1" s="1" t="s">
        <v>337</v>
      </c>
    </row>
    <row r="2" spans="1:6" x14ac:dyDescent="0.25">
      <c r="A2" t="s">
        <v>24</v>
      </c>
      <c r="B2" s="5">
        <f>CHOOSE(MATCH(ScenarioSelector,{"Base","Upside","Downside"},0),4200,4200,4200)</f>
        <v>4200</v>
      </c>
      <c r="C2" s="5">
        <f>CHOOSE(MATCH(ScenarioSelector,{"Base","Upside","Downside"},0),4020,4020,4020)</f>
        <v>4020</v>
      </c>
      <c r="D2" s="5">
        <f>CHOOSE(MATCH(ScenarioSelector,{"Base","Upside","Downside"},0),350,350,350)</f>
        <v>350</v>
      </c>
      <c r="E2" s="5">
        <f>CHOOSE(MATCH(ScenarioSelector,{"Base","Upside","Downside"},0),600,600,600)</f>
        <v>600</v>
      </c>
      <c r="F2" s="5">
        <f>SUM(B2:E2)</f>
        <v>9170</v>
      </c>
    </row>
    <row r="3" spans="1:6" x14ac:dyDescent="0.25">
      <c r="A3" t="s">
        <v>307</v>
      </c>
      <c r="B3" s="5">
        <f>CHOOSE(MATCH(ScenarioSelector,{"Base","Upside","Downside"},0),0,0,0)</f>
        <v>0</v>
      </c>
      <c r="C3" s="5">
        <f>CHOOSE(MATCH(ScenarioSelector,{"Base","Upside","Downside"},0),420,420,420)</f>
        <v>420</v>
      </c>
      <c r="D3" s="5">
        <f>CHOOSE(MATCH(ScenarioSelector,{"Base","Upside","Downside"},0),4350,4350,4350)</f>
        <v>4350</v>
      </c>
      <c r="E3" s="5">
        <f>CHOOSE(MATCH(ScenarioSelector,{"Base","Upside","Downside"},0),5100,5100,5100)</f>
        <v>5100</v>
      </c>
      <c r="F3" s="5">
        <f>SUM(B3:E3)</f>
        <v>9870</v>
      </c>
    </row>
    <row r="4" spans="1:6" x14ac:dyDescent="0.25">
      <c r="A4" t="s">
        <v>308</v>
      </c>
      <c r="B4" s="5">
        <f>CHOOSE(MATCH(ScenarioSelector,{"Base","Upside","Downside"},0),0,0,0)</f>
        <v>0</v>
      </c>
      <c r="C4" s="5">
        <f>CHOOSE(MATCH(ScenarioSelector,{"Base","Upside","Downside"},0),420,420,420)</f>
        <v>420</v>
      </c>
      <c r="D4" s="5">
        <f>CHOOSE(MATCH(ScenarioSelector,{"Base","Upside","Downside"},0),350,350,350)</f>
        <v>350</v>
      </c>
      <c r="E4" s="5">
        <f>CHOOSE(MATCH(ScenarioSelector,{"Base","Upside","Downside"},0),600,600,600)</f>
        <v>600</v>
      </c>
      <c r="F4" s="5">
        <f>SUM(B4:E4)</f>
        <v>1370</v>
      </c>
    </row>
    <row r="5" spans="1:6" x14ac:dyDescent="0.25">
      <c r="A5" t="s">
        <v>309</v>
      </c>
      <c r="B5" s="5">
        <f>CHOOSE(MATCH(ScenarioSelector,{"Base","Upside","Downside"},0),0,0,0)</f>
        <v>0</v>
      </c>
      <c r="C5" s="5">
        <f>CHOOSE(MATCH(ScenarioSelector,{"Base","Upside","Downside"},0),420,420,420)</f>
        <v>420</v>
      </c>
      <c r="D5" s="5">
        <f>CHOOSE(MATCH(ScenarioSelector,{"Base","Upside","Downside"},0),350,350,350)</f>
        <v>350</v>
      </c>
      <c r="E5" s="5">
        <f>CHOOSE(MATCH(ScenarioSelector,{"Base","Upside","Downside"},0),600,600,600)</f>
        <v>600</v>
      </c>
      <c r="F5" s="5">
        <f>SUM(B5:E5)</f>
        <v>1370</v>
      </c>
    </row>
    <row r="6" spans="1:6" x14ac:dyDescent="0.25">
      <c r="A6" t="s">
        <v>310</v>
      </c>
      <c r="B6" s="5">
        <f>CHOOSE(MATCH(ScenarioSelector,{"Base","Upside","Downside"},0),0,0,0)</f>
        <v>0</v>
      </c>
      <c r="C6" s="5">
        <f>CHOOSE(MATCH(ScenarioSelector,{"Base","Upside","Downside"},0),420,420,420)</f>
        <v>420</v>
      </c>
      <c r="D6" s="5">
        <f>CHOOSE(MATCH(ScenarioSelector,{"Base","Upside","Downside"},0),350,350,350)</f>
        <v>350</v>
      </c>
      <c r="E6" s="5">
        <f>CHOOSE(MATCH(ScenarioSelector,{"Base","Upside","Downside"},0),600,600,600)</f>
        <v>600</v>
      </c>
      <c r="F6" s="5">
        <f>SUM(B6:E6)</f>
        <v>1370</v>
      </c>
    </row>
    <row r="7" spans="1:6" x14ac:dyDescent="0.25">
      <c r="A7" t="s">
        <v>311</v>
      </c>
      <c r="B7" s="5">
        <f>CHOOSE(MATCH(ScenarioSelector,{"Base","Upside","Downside"},0),1800,1800,1800)</f>
        <v>1800</v>
      </c>
      <c r="C7" s="5">
        <f>CHOOSE(MATCH(ScenarioSelector,{"Base","Upside","Downside"},0),420,420,420)</f>
        <v>420</v>
      </c>
      <c r="D7" s="5">
        <f>CHOOSE(MATCH(ScenarioSelector,{"Base","Upside","Downside"},0),350,350,350)</f>
        <v>350</v>
      </c>
      <c r="E7" s="5">
        <f>CHOOSE(MATCH(ScenarioSelector,{"Base","Upside","Downside"},0),600,600,600)</f>
        <v>600</v>
      </c>
      <c r="F7" s="5">
        <f>SUM(B7:E7)</f>
        <v>3170</v>
      </c>
    </row>
    <row r="8" spans="1:6" x14ac:dyDescent="0.25">
      <c r="A8" t="s">
        <v>312</v>
      </c>
      <c r="B8" s="5">
        <f>CHOOSE(MATCH(ScenarioSelector,{"Base","Upside","Downside"},0),0,0,0)</f>
        <v>0</v>
      </c>
      <c r="C8" s="5">
        <f>CHOOSE(MATCH(ScenarioSelector,{"Base","Upside","Downside"},0),420,420,420)</f>
        <v>420</v>
      </c>
      <c r="D8" s="5">
        <f>CHOOSE(MATCH(ScenarioSelector,{"Base","Upside","Downside"},0),350,350,350)</f>
        <v>350</v>
      </c>
      <c r="E8" s="5">
        <f>CHOOSE(MATCH(ScenarioSelector,{"Base","Upside","Downside"},0),600,600,600)</f>
        <v>600</v>
      </c>
      <c r="F8" s="5">
        <f>SUM(B8:E8)</f>
        <v>1370</v>
      </c>
    </row>
    <row r="9" spans="1:6" x14ac:dyDescent="0.25">
      <c r="A9" t="s">
        <v>313</v>
      </c>
      <c r="B9" s="5">
        <f>CHOOSE(MATCH(ScenarioSelector,{"Base","Upside","Downside"},0),0,0,0)</f>
        <v>0</v>
      </c>
      <c r="C9" s="5">
        <f>CHOOSE(MATCH(ScenarioSelector,{"Base","Upside","Downside"},0),420,420,420)</f>
        <v>420</v>
      </c>
      <c r="D9" s="5">
        <f>CHOOSE(MATCH(ScenarioSelector,{"Base","Upside","Downside"},0),350,350,350)</f>
        <v>350</v>
      </c>
      <c r="E9" s="5">
        <f>CHOOSE(MATCH(ScenarioSelector,{"Base","Upside","Downside"},0),600,600,600)</f>
        <v>600</v>
      </c>
      <c r="F9" s="5">
        <f>SUM(B9:E9)</f>
        <v>1370</v>
      </c>
    </row>
    <row r="10" spans="1:6" x14ac:dyDescent="0.25">
      <c r="A10" t="s">
        <v>314</v>
      </c>
      <c r="B10" s="5">
        <f>CHOOSE(MATCH(ScenarioSelector,{"Base","Upside","Downside"},0),0,0,0)</f>
        <v>0</v>
      </c>
      <c r="C10" s="5">
        <f>CHOOSE(MATCH(ScenarioSelector,{"Base","Upside","Downside"},0),420,420,420)</f>
        <v>420</v>
      </c>
      <c r="D10" s="5">
        <f>CHOOSE(MATCH(ScenarioSelector,{"Base","Upside","Downside"},0),350,350,350)</f>
        <v>350</v>
      </c>
      <c r="E10" s="5">
        <f>CHOOSE(MATCH(ScenarioSelector,{"Base","Upside","Downside"},0),600,600,600)</f>
        <v>600</v>
      </c>
      <c r="F10" s="5">
        <f>SUM(B10:E10)</f>
        <v>1370</v>
      </c>
    </row>
    <row r="11" spans="1:6" x14ac:dyDescent="0.25">
      <c r="A11" t="s">
        <v>315</v>
      </c>
      <c r="B11" s="5">
        <f>CHOOSE(MATCH(ScenarioSelector,{"Base","Upside","Downside"},0),0,0,0)</f>
        <v>0</v>
      </c>
      <c r="C11" s="5">
        <f>CHOOSE(MATCH(ScenarioSelector,{"Base","Upside","Downside"},0),420,420,420)</f>
        <v>420</v>
      </c>
      <c r="D11" s="5">
        <f>CHOOSE(MATCH(ScenarioSelector,{"Base","Upside","Downside"},0),350,350,350)</f>
        <v>350</v>
      </c>
      <c r="E11" s="5">
        <f>CHOOSE(MATCH(ScenarioSelector,{"Base","Upside","Downside"},0),600,600,600)</f>
        <v>600</v>
      </c>
      <c r="F11" s="5">
        <f>SUM(B11:E11)</f>
        <v>1370</v>
      </c>
    </row>
    <row r="12" spans="1:6" x14ac:dyDescent="0.25">
      <c r="A12" t="s">
        <v>316</v>
      </c>
      <c r="B12" s="5">
        <f>CHOOSE(MATCH(ScenarioSelector,{"Base","Upside","Downside"},0),0,0,0)</f>
        <v>0</v>
      </c>
      <c r="C12" s="5">
        <f>CHOOSE(MATCH(ScenarioSelector,{"Base","Upside","Downside"},0),420,420,420)</f>
        <v>420</v>
      </c>
      <c r="D12" s="5">
        <f>CHOOSE(MATCH(ScenarioSelector,{"Base","Upside","Downside"},0),350,350,350)</f>
        <v>350</v>
      </c>
      <c r="E12" s="5">
        <f>CHOOSE(MATCH(ScenarioSelector,{"Base","Upside","Downside"},0),600,600,600)</f>
        <v>600</v>
      </c>
      <c r="F12" s="5">
        <f>SUM(B12:E12)</f>
        <v>1370</v>
      </c>
    </row>
    <row r="13" spans="1:6" x14ac:dyDescent="0.25">
      <c r="A13" t="s">
        <v>317</v>
      </c>
      <c r="B13" s="5">
        <f>CHOOSE(MATCH(ScenarioSelector,{"Base","Upside","Downside"},0),0,0,0)</f>
        <v>0</v>
      </c>
      <c r="C13" s="5">
        <f>CHOOSE(MATCH(ScenarioSelector,{"Base","Upside","Downside"},0),2420,2420,2420)</f>
        <v>2420</v>
      </c>
      <c r="D13" s="5">
        <f>CHOOSE(MATCH(ScenarioSelector,{"Base","Upside","Downside"},0),350,350,350)</f>
        <v>350</v>
      </c>
      <c r="E13" s="5">
        <f>CHOOSE(MATCH(ScenarioSelector,{"Base","Upside","Downside"},0),600,600,600)</f>
        <v>600</v>
      </c>
      <c r="F13" s="5">
        <f>SUM(B13:E13)</f>
        <v>3370</v>
      </c>
    </row>
    <row r="14" spans="1:6" x14ac:dyDescent="0.25">
      <c r="A14" t="s">
        <v>318</v>
      </c>
      <c r="B14" s="5">
        <f>CHOOSE(MATCH(ScenarioSelector,{"Base","Upside","Downside"},0),150,150,150)</f>
        <v>150</v>
      </c>
      <c r="C14" s="5">
        <f>CHOOSE(MATCH(ScenarioSelector,{"Base","Upside","Downside"},0),4020,4020,4020)</f>
        <v>4020</v>
      </c>
      <c r="D14" s="5">
        <f>CHOOSE(MATCH(ScenarioSelector,{"Base","Upside","Downside"},0),350,350,350)</f>
        <v>350</v>
      </c>
      <c r="E14" s="5">
        <f>CHOOSE(MATCH(ScenarioSelector,{"Base","Upside","Downside"},0),850,850,850)</f>
        <v>850</v>
      </c>
      <c r="F14" s="5">
        <f>SUM(B14:E14)</f>
        <v>5370</v>
      </c>
    </row>
    <row r="15" spans="1:6" x14ac:dyDescent="0.25">
      <c r="A15" t="s">
        <v>319</v>
      </c>
      <c r="B15" s="5">
        <f>CHOOSE(MATCH(ScenarioSelector,{"Base","Upside","Downside"},0),0,0,0)</f>
        <v>0</v>
      </c>
      <c r="C15" s="5">
        <f>CHOOSE(MATCH(ScenarioSelector,{"Base","Upside","Downside"},0),420,420,420)</f>
        <v>420</v>
      </c>
      <c r="D15" s="5">
        <f>CHOOSE(MATCH(ScenarioSelector,{"Base","Upside","Downside"},0),6350,6350,6350)</f>
        <v>6350</v>
      </c>
      <c r="E15" s="5">
        <f>CHOOSE(MATCH(ScenarioSelector,{"Base","Upside","Downside"},0),5350,6850,3850)</f>
        <v>5350</v>
      </c>
      <c r="F15" s="5">
        <f>SUM(B15:E15)</f>
        <v>12120</v>
      </c>
    </row>
    <row r="16" spans="1:6" x14ac:dyDescent="0.25">
      <c r="A16" t="s">
        <v>320</v>
      </c>
      <c r="B16" s="5">
        <f>CHOOSE(MATCH(ScenarioSelector,{"Base","Upside","Downside"},0),0,0,0)</f>
        <v>0</v>
      </c>
      <c r="C16" s="5">
        <f>CHOOSE(MATCH(ScenarioSelector,{"Base","Upside","Downside"},0),420,420,420)</f>
        <v>420</v>
      </c>
      <c r="D16" s="5">
        <f>CHOOSE(MATCH(ScenarioSelector,{"Base","Upside","Downside"},0),350,350,350)</f>
        <v>350</v>
      </c>
      <c r="E16" s="5">
        <f>CHOOSE(MATCH(ScenarioSelector,{"Base","Upside","Downside"},0),850,850,850)</f>
        <v>850</v>
      </c>
      <c r="F16" s="5">
        <f>SUM(B16:E16)</f>
        <v>1620</v>
      </c>
    </row>
    <row r="17" spans="1:6" x14ac:dyDescent="0.25">
      <c r="A17" t="s">
        <v>321</v>
      </c>
      <c r="B17" s="5">
        <f>CHOOSE(MATCH(ScenarioSelector,{"Base","Upside","Downside"},0),0,0,0)</f>
        <v>0</v>
      </c>
      <c r="C17" s="5">
        <f>CHOOSE(MATCH(ScenarioSelector,{"Base","Upside","Downside"},0),420,480,420)</f>
        <v>420</v>
      </c>
      <c r="D17" s="5">
        <f>CHOOSE(MATCH(ScenarioSelector,{"Base","Upside","Downside"},0),350,350,350)</f>
        <v>350</v>
      </c>
      <c r="E17" s="5">
        <f>CHOOSE(MATCH(ScenarioSelector,{"Base","Upside","Downside"},0),850,850,850)</f>
        <v>850</v>
      </c>
      <c r="F17" s="5">
        <f>SUM(B17:E17)</f>
        <v>1620</v>
      </c>
    </row>
    <row r="18" spans="1:6" x14ac:dyDescent="0.25">
      <c r="A18" t="s">
        <v>322</v>
      </c>
      <c r="B18" s="5">
        <f>CHOOSE(MATCH(ScenarioSelector,{"Base","Upside","Downside"},0),0,0,0)</f>
        <v>0</v>
      </c>
      <c r="C18" s="5">
        <f>CHOOSE(MATCH(ScenarioSelector,{"Base","Upside","Downside"},0),420,480,420)</f>
        <v>420</v>
      </c>
      <c r="D18" s="5">
        <f>CHOOSE(MATCH(ScenarioSelector,{"Base","Upside","Downside"},0),350,350,350)</f>
        <v>350</v>
      </c>
      <c r="E18" s="5">
        <f>CHOOSE(MATCH(ScenarioSelector,{"Base","Upside","Downside"},0),850,850,850)</f>
        <v>850</v>
      </c>
      <c r="F18" s="5">
        <f>SUM(B18:E18)</f>
        <v>1620</v>
      </c>
    </row>
    <row r="19" spans="1:6" x14ac:dyDescent="0.25">
      <c r="A19" t="s">
        <v>323</v>
      </c>
      <c r="B19" s="5">
        <f>CHOOSE(MATCH(ScenarioSelector,{"Base","Upside","Downside"},0),450,450,450)</f>
        <v>450</v>
      </c>
      <c r="C19" s="5">
        <f>CHOOSE(MATCH(ScenarioSelector,{"Base","Upside","Downside"},0),420,480,420)</f>
        <v>420</v>
      </c>
      <c r="D19" s="5">
        <f>CHOOSE(MATCH(ScenarioSelector,{"Base","Upside","Downside"},0),350,350,350)</f>
        <v>350</v>
      </c>
      <c r="E19" s="5">
        <f>CHOOSE(MATCH(ScenarioSelector,{"Base","Upside","Downside"},0),850,850,850)</f>
        <v>850</v>
      </c>
      <c r="F19" s="5">
        <f>SUM(B19:E19)</f>
        <v>2070</v>
      </c>
    </row>
    <row r="20" spans="1:6" x14ac:dyDescent="0.25">
      <c r="A20" t="s">
        <v>324</v>
      </c>
      <c r="B20" s="5">
        <f>CHOOSE(MATCH(ScenarioSelector,{"Base","Upside","Downside"},0),0,0,0)</f>
        <v>0</v>
      </c>
      <c r="C20" s="5">
        <f>CHOOSE(MATCH(ScenarioSelector,{"Base","Upside","Downside"},0),420,480,420)</f>
        <v>420</v>
      </c>
      <c r="D20" s="5">
        <f>CHOOSE(MATCH(ScenarioSelector,{"Base","Upside","Downside"},0),350,350,350)</f>
        <v>350</v>
      </c>
      <c r="E20" s="5">
        <f>CHOOSE(MATCH(ScenarioSelector,{"Base","Upside","Downside"},0),850,850,850)</f>
        <v>850</v>
      </c>
      <c r="F20" s="5">
        <f>SUM(B20:E20)</f>
        <v>1620</v>
      </c>
    </row>
    <row r="21" spans="1:6" x14ac:dyDescent="0.25">
      <c r="A21" t="s">
        <v>325</v>
      </c>
      <c r="B21" s="5">
        <f>CHOOSE(MATCH(ScenarioSelector,{"Base","Upside","Downside"},0),0,0,0)</f>
        <v>0</v>
      </c>
      <c r="C21" s="5">
        <f>CHOOSE(MATCH(ScenarioSelector,{"Base","Upside","Downside"},0),420,480,420)</f>
        <v>420</v>
      </c>
      <c r="D21" s="5">
        <f>CHOOSE(MATCH(ScenarioSelector,{"Base","Upside","Downside"},0),350,350,350)</f>
        <v>350</v>
      </c>
      <c r="E21" s="5">
        <f>CHOOSE(MATCH(ScenarioSelector,{"Base","Upside","Downside"},0),850,850,850)</f>
        <v>850</v>
      </c>
      <c r="F21" s="5">
        <f>SUM(B21:E21)</f>
        <v>1620</v>
      </c>
    </row>
    <row r="22" spans="1:6" x14ac:dyDescent="0.25">
      <c r="A22" t="s">
        <v>326</v>
      </c>
      <c r="B22" s="5">
        <f>CHOOSE(MATCH(ScenarioSelector,{"Base","Upside","Downside"},0),0,0,0)</f>
        <v>0</v>
      </c>
      <c r="C22" s="5">
        <f>CHOOSE(MATCH(ScenarioSelector,{"Base","Upside","Downside"},0),420,480,420)</f>
        <v>420</v>
      </c>
      <c r="D22" s="5">
        <f>CHOOSE(MATCH(ScenarioSelector,{"Base","Upside","Downside"},0),350,350,350)</f>
        <v>350</v>
      </c>
      <c r="E22" s="5">
        <f>CHOOSE(MATCH(ScenarioSelector,{"Base","Upside","Downside"},0),850,850,850)</f>
        <v>850</v>
      </c>
      <c r="F22" s="5">
        <f>SUM(B22:E22)</f>
        <v>1620</v>
      </c>
    </row>
    <row r="23" spans="1:6" x14ac:dyDescent="0.25">
      <c r="A23" t="s">
        <v>327</v>
      </c>
      <c r="B23" s="5">
        <f>CHOOSE(MATCH(ScenarioSelector,{"Base","Upside","Downside"},0),0,0,0)</f>
        <v>0</v>
      </c>
      <c r="C23" s="5">
        <f>CHOOSE(MATCH(ScenarioSelector,{"Base","Upside","Downside"},0),420,480,420)</f>
        <v>420</v>
      </c>
      <c r="D23" s="5">
        <f>CHOOSE(MATCH(ScenarioSelector,{"Base","Upside","Downside"},0),350,350,350)</f>
        <v>350</v>
      </c>
      <c r="E23" s="5">
        <f>CHOOSE(MATCH(ScenarioSelector,{"Base","Upside","Downside"},0),850,850,850)</f>
        <v>850</v>
      </c>
      <c r="F23" s="5">
        <f>SUM(B23:E23)</f>
        <v>1620</v>
      </c>
    </row>
    <row r="24" spans="1:6" x14ac:dyDescent="0.25">
      <c r="A24" t="s">
        <v>328</v>
      </c>
      <c r="B24" s="5">
        <f>CHOOSE(MATCH(ScenarioSelector,{"Base","Upside","Downside"},0),0,0,0)</f>
        <v>0</v>
      </c>
      <c r="C24" s="5">
        <f>CHOOSE(MATCH(ScenarioSelector,{"Base","Upside","Downside"},0),420,480,420)</f>
        <v>420</v>
      </c>
      <c r="D24" s="5">
        <f>CHOOSE(MATCH(ScenarioSelector,{"Base","Upside","Downside"},0),350,350,350)</f>
        <v>350</v>
      </c>
      <c r="E24" s="5">
        <f>CHOOSE(MATCH(ScenarioSelector,{"Base","Upside","Downside"},0),850,850,850)</f>
        <v>850</v>
      </c>
      <c r="F24" s="5">
        <f>SUM(B24:E24)</f>
        <v>1620</v>
      </c>
    </row>
    <row r="25" spans="1:6" x14ac:dyDescent="0.25">
      <c r="A25" t="s">
        <v>329</v>
      </c>
      <c r="B25" s="5">
        <f>CHOOSE(MATCH(ScenarioSelector,{"Base","Upside","Downside"},0),0,0,0)</f>
        <v>0</v>
      </c>
      <c r="C25" s="5">
        <f>CHOOSE(MATCH(ScenarioSelector,{"Base","Upside","Downside"},0),2420,2480,2420)</f>
        <v>2420</v>
      </c>
      <c r="D25" s="5">
        <f>CHOOSE(MATCH(ScenarioSelector,{"Base","Upside","Downside"},0),350,350,350)</f>
        <v>350</v>
      </c>
      <c r="E25" s="5">
        <f>CHOOSE(MATCH(ScenarioSelector,{"Base","Upside","Downside"},0),850,850,850)</f>
        <v>850</v>
      </c>
      <c r="F25" s="5">
        <f>SUM(B25:E25)</f>
        <v>3620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301</v>
      </c>
      <c r="B1" s="1" t="s">
        <v>304</v>
      </c>
      <c r="C1" s="1" t="s">
        <v>305</v>
      </c>
      <c r="D1" s="1" t="s">
        <v>306</v>
      </c>
      <c r="E1" s="1" t="s">
        <v>338</v>
      </c>
      <c r="F1" s="1" t="s">
        <v>339</v>
      </c>
      <c r="G1" s="1" t="s">
        <v>340</v>
      </c>
    </row>
    <row r="2" spans="1:7" x14ac:dyDescent="0.25">
      <c r="A2" t="s">
        <v>24</v>
      </c>
      <c r="B2" s="6">
        <f>Revenue!D2</f>
        <v>280</v>
      </c>
      <c r="C2" s="6">
        <f>Revenue!E2</f>
        <v>34.65</v>
      </c>
      <c r="D2" s="5">
        <f>B2-C2</f>
        <v>245.35</v>
      </c>
      <c r="E2" s="6">
        <f>Headcount!C2</f>
        <v>0</v>
      </c>
      <c r="F2" s="6">
        <f>OpEx!F2</f>
        <v>9170</v>
      </c>
      <c r="G2" s="5">
        <f>D2-E2-F2</f>
        <v>-8924.65</v>
      </c>
    </row>
    <row r="3" spans="1:7" x14ac:dyDescent="0.25">
      <c r="A3" t="s">
        <v>307</v>
      </c>
      <c r="B3" s="6">
        <f>Revenue!D3</f>
        <v>574.65</v>
      </c>
      <c r="C3" s="6">
        <f>Revenue!E3</f>
        <v>70.89</v>
      </c>
      <c r="D3" s="5">
        <f>B3-C3</f>
        <v>503.76</v>
      </c>
      <c r="E3" s="6">
        <f>Headcount!C3</f>
        <v>0</v>
      </c>
      <c r="F3" s="6">
        <f>OpEx!F3</f>
        <v>9870</v>
      </c>
      <c r="G3" s="5">
        <f>D3-E3-F3</f>
        <v>-9366.24</v>
      </c>
    </row>
    <row r="4" spans="1:7" x14ac:dyDescent="0.25">
      <c r="A4" t="s">
        <v>308</v>
      </c>
      <c r="B4" s="6">
        <f>Revenue!D4</f>
        <v>884.75</v>
      </c>
      <c r="C4" s="6">
        <f>Revenue!E4</f>
        <v>108.82</v>
      </c>
      <c r="D4" s="5">
        <f>B4-C4</f>
        <v>775.94</v>
      </c>
      <c r="E4" s="6">
        <f>Headcount!C4</f>
        <v>0</v>
      </c>
      <c r="F4" s="6">
        <f>OpEx!F4</f>
        <v>1370</v>
      </c>
      <c r="G4" s="5">
        <f>D4-E4-F4</f>
        <v>-594.06</v>
      </c>
    </row>
    <row r="5" spans="1:7" x14ac:dyDescent="0.25">
      <c r="A5" t="s">
        <v>309</v>
      </c>
      <c r="B5" s="6">
        <f>Revenue!D5</f>
        <v>1211.14</v>
      </c>
      <c r="C5" s="6">
        <f>Revenue!E5</f>
        <v>148.5</v>
      </c>
      <c r="D5" s="5">
        <f>B5-C5</f>
        <v>1062.64</v>
      </c>
      <c r="E5" s="6">
        <f>Headcount!C5</f>
        <v>0</v>
      </c>
      <c r="F5" s="6">
        <f>OpEx!F5</f>
        <v>1370</v>
      </c>
      <c r="G5" s="5">
        <f>D5-E5-F5</f>
        <v>-307.36</v>
      </c>
    </row>
    <row r="6" spans="1:7" x14ac:dyDescent="0.25">
      <c r="A6" t="s">
        <v>310</v>
      </c>
      <c r="B6" s="6">
        <f>Revenue!D6</f>
        <v>1554.7</v>
      </c>
      <c r="C6" s="6">
        <f>Revenue!E6</f>
        <v>190.04</v>
      </c>
      <c r="D6" s="5">
        <f>B6-C6</f>
        <v>1364.66</v>
      </c>
      <c r="E6" s="6">
        <f>Headcount!C6</f>
        <v>0</v>
      </c>
      <c r="F6" s="6">
        <f>OpEx!F6</f>
        <v>1370</v>
      </c>
      <c r="G6" s="5">
        <f>D6-E6-F6</f>
        <v>-5.34</v>
      </c>
    </row>
    <row r="7" spans="1:7" x14ac:dyDescent="0.25">
      <c r="A7" t="s">
        <v>311</v>
      </c>
      <c r="B7" s="6">
        <f>Revenue!D7</f>
        <v>1916.36</v>
      </c>
      <c r="C7" s="6">
        <f>Revenue!E7</f>
        <v>233.53</v>
      </c>
      <c r="D7" s="5">
        <f>B7-C7</f>
        <v>1682.83</v>
      </c>
      <c r="E7" s="6">
        <f>Headcount!C7</f>
        <v>0</v>
      </c>
      <c r="F7" s="6">
        <f>OpEx!F7</f>
        <v>3170</v>
      </c>
      <c r="G7" s="5">
        <f>D7-E7-F7</f>
        <v>-1487.17</v>
      </c>
    </row>
    <row r="8" spans="1:7" x14ac:dyDescent="0.25">
      <c r="A8" t="s">
        <v>312</v>
      </c>
      <c r="B8" s="6">
        <f>Revenue!D8</f>
        <v>2297.12</v>
      </c>
      <c r="C8" s="6">
        <f>Revenue!E8</f>
        <v>279.08</v>
      </c>
      <c r="D8" s="5">
        <f>B8-C8</f>
        <v>2018.04</v>
      </c>
      <c r="E8" s="6">
        <f>Headcount!C8</f>
        <v>0</v>
      </c>
      <c r="F8" s="6">
        <f>OpEx!F8</f>
        <v>1370</v>
      </c>
      <c r="G8" s="5">
        <f>D8-E8-F8</f>
        <v>648.04</v>
      </c>
    </row>
    <row r="9" spans="1:7" x14ac:dyDescent="0.25">
      <c r="A9" t="s">
        <v>313</v>
      </c>
      <c r="B9" s="6">
        <f>Revenue!D9</f>
        <v>2698</v>
      </c>
      <c r="C9" s="6">
        <f>Revenue!E9</f>
        <v>326.78</v>
      </c>
      <c r="D9" s="5">
        <f>B9-C9</f>
        <v>2371.22</v>
      </c>
      <c r="E9" s="6">
        <f>Headcount!C9</f>
        <v>0</v>
      </c>
      <c r="F9" s="6">
        <f>OpEx!F9</f>
        <v>1370</v>
      </c>
      <c r="G9" s="5">
        <f>D9-E9-F9</f>
        <v>1001.22</v>
      </c>
    </row>
    <row r="10" spans="1:7" x14ac:dyDescent="0.25">
      <c r="A10" t="s">
        <v>314</v>
      </c>
      <c r="B10" s="6">
        <f>Revenue!D10</f>
        <v>3120.11</v>
      </c>
      <c r="C10" s="6">
        <f>Revenue!E10</f>
        <v>376.75</v>
      </c>
      <c r="D10" s="5">
        <f>B10-C10</f>
        <v>2743.35</v>
      </c>
      <c r="E10" s="6">
        <f>Headcount!C10</f>
        <v>0</v>
      </c>
      <c r="F10" s="6">
        <f>OpEx!F10</f>
        <v>1370</v>
      </c>
      <c r="G10" s="5">
        <f>D10-E10-F10</f>
        <v>1373.35</v>
      </c>
    </row>
    <row r="11" spans="1:7" x14ac:dyDescent="0.25">
      <c r="A11" t="s">
        <v>315</v>
      </c>
      <c r="B11" s="6">
        <f>Revenue!D11</f>
        <v>3564.58</v>
      </c>
      <c r="C11" s="6">
        <f>Revenue!E11</f>
        <v>429.11</v>
      </c>
      <c r="D11" s="5">
        <f>B11-C11</f>
        <v>3135.47</v>
      </c>
      <c r="E11" s="6">
        <f>Headcount!C11</f>
        <v>0</v>
      </c>
      <c r="F11" s="6">
        <f>OpEx!F11</f>
        <v>1370</v>
      </c>
      <c r="G11" s="5">
        <f>D11-E11-F11</f>
        <v>1765.47</v>
      </c>
    </row>
    <row r="12" spans="1:7" x14ac:dyDescent="0.25">
      <c r="A12" t="s">
        <v>316</v>
      </c>
      <c r="B12" s="6">
        <f>Revenue!D12</f>
        <v>4032.65</v>
      </c>
      <c r="C12" s="6">
        <f>Revenue!E12</f>
        <v>483.98</v>
      </c>
      <c r="D12" s="5">
        <f>B12-C12</f>
        <v>3548.67</v>
      </c>
      <c r="E12" s="6">
        <f>Headcount!C12</f>
        <v>0</v>
      </c>
      <c r="F12" s="6">
        <f>OpEx!F12</f>
        <v>1370</v>
      </c>
      <c r="G12" s="5">
        <f>D12-E12-F12</f>
        <v>2178.67</v>
      </c>
    </row>
    <row r="13" spans="1:7" x14ac:dyDescent="0.25">
      <c r="A13" t="s">
        <v>317</v>
      </c>
      <c r="B13" s="6">
        <f>Revenue!D13</f>
        <v>4525.58</v>
      </c>
      <c r="C13" s="6">
        <f>Revenue!E13</f>
        <v>541.48</v>
      </c>
      <c r="D13" s="5">
        <f>B13-C13</f>
        <v>3984.1</v>
      </c>
      <c r="E13" s="6">
        <f>Headcount!C13</f>
        <v>0</v>
      </c>
      <c r="F13" s="6">
        <f>OpEx!F13</f>
        <v>3370</v>
      </c>
      <c r="G13" s="5">
        <f>D13-E13-F13</f>
        <v>614.1</v>
      </c>
    </row>
    <row r="14" spans="1:7" x14ac:dyDescent="0.25">
      <c r="A14" t="s">
        <v>318</v>
      </c>
      <c r="B14" s="6">
        <f>Revenue!D14</f>
        <v>5044.74</v>
      </c>
      <c r="C14" s="6">
        <f>Revenue!E14</f>
        <v>601.76</v>
      </c>
      <c r="D14" s="5">
        <f>B14-C14</f>
        <v>4442.97</v>
      </c>
      <c r="E14" s="6">
        <f>Headcount!C14</f>
        <v>6000</v>
      </c>
      <c r="F14" s="6">
        <f>OpEx!F14</f>
        <v>5370</v>
      </c>
      <c r="G14" s="5">
        <f>D14-E14-F14</f>
        <v>-6927.03</v>
      </c>
    </row>
    <row r="15" spans="1:7" x14ac:dyDescent="0.25">
      <c r="A15" t="s">
        <v>319</v>
      </c>
      <c r="B15" s="6">
        <f>Revenue!D15</f>
        <v>5591.54</v>
      </c>
      <c r="C15" s="6">
        <f>Revenue!E15</f>
        <v>664.96</v>
      </c>
      <c r="D15" s="5">
        <f>B15-C15</f>
        <v>4926.57</v>
      </c>
      <c r="E15" s="6">
        <f>Headcount!C15</f>
        <v>6000</v>
      </c>
      <c r="F15" s="6">
        <f>OpEx!F15</f>
        <v>12120</v>
      </c>
      <c r="G15" s="5">
        <f>D15-E15-F15</f>
        <v>-13193.43</v>
      </c>
    </row>
    <row r="16" spans="1:7" x14ac:dyDescent="0.25">
      <c r="A16" t="s">
        <v>320</v>
      </c>
      <c r="B16" s="6">
        <f>Revenue!D16</f>
        <v>6167.48</v>
      </c>
      <c r="C16" s="6">
        <f>Revenue!E16</f>
        <v>731.23</v>
      </c>
      <c r="D16" s="5">
        <f>B16-C16</f>
        <v>5436.25</v>
      </c>
      <c r="E16" s="6">
        <f>Headcount!C16</f>
        <v>6000</v>
      </c>
      <c r="F16" s="6">
        <f>OpEx!F16</f>
        <v>1620</v>
      </c>
      <c r="G16" s="5">
        <f>D16-E16-F16</f>
        <v>-2183.75</v>
      </c>
    </row>
    <row r="17" spans="1:7" x14ac:dyDescent="0.25">
      <c r="A17" t="s">
        <v>321</v>
      </c>
      <c r="B17" s="6">
        <f>Revenue!D17</f>
        <v>6774.16</v>
      </c>
      <c r="C17" s="6">
        <f>Revenue!E17</f>
        <v>800.73</v>
      </c>
      <c r="D17" s="5">
        <f>B17-C17</f>
        <v>5973.43</v>
      </c>
      <c r="E17" s="6">
        <f>Headcount!C17</f>
        <v>6000</v>
      </c>
      <c r="F17" s="6">
        <f>OpEx!F17</f>
        <v>1620</v>
      </c>
      <c r="G17" s="5">
        <f>D17-E17-F17</f>
        <v>-1646.57</v>
      </c>
    </row>
    <row r="18" spans="1:7" x14ac:dyDescent="0.25">
      <c r="A18" t="s">
        <v>322</v>
      </c>
      <c r="B18" s="6">
        <f>Revenue!D18</f>
        <v>7413.24</v>
      </c>
      <c r="C18" s="6">
        <f>Revenue!E18</f>
        <v>873.62</v>
      </c>
      <c r="D18" s="5">
        <f>B18-C18</f>
        <v>6539.62</v>
      </c>
      <c r="E18" s="6">
        <f>Headcount!C18</f>
        <v>6000</v>
      </c>
      <c r="F18" s="6">
        <f>OpEx!F18</f>
        <v>1620</v>
      </c>
      <c r="G18" s="5">
        <f>D18-E18-F18</f>
        <v>-1080.38</v>
      </c>
    </row>
    <row r="19" spans="1:7" x14ac:dyDescent="0.25">
      <c r="A19" t="s">
        <v>323</v>
      </c>
      <c r="B19" s="6">
        <f>Revenue!D19</f>
        <v>8086.47</v>
      </c>
      <c r="C19" s="6">
        <f>Revenue!E19</f>
        <v>950.07</v>
      </c>
      <c r="D19" s="5">
        <f>B19-C19</f>
        <v>7136.4</v>
      </c>
      <c r="E19" s="6">
        <f>Headcount!C19</f>
        <v>6000</v>
      </c>
      <c r="F19" s="6">
        <f>OpEx!F19</f>
        <v>2070</v>
      </c>
      <c r="G19" s="5">
        <f>D19-E19-F19</f>
        <v>-933.6</v>
      </c>
    </row>
    <row r="20" spans="1:7" x14ac:dyDescent="0.25">
      <c r="A20" t="s">
        <v>324</v>
      </c>
      <c r="B20" s="6">
        <f>Revenue!D20</f>
        <v>8795.72</v>
      </c>
      <c r="C20" s="6">
        <f>Revenue!E20</f>
        <v>1030.28</v>
      </c>
      <c r="D20" s="5">
        <f>B20-C20</f>
        <v>7765.44</v>
      </c>
      <c r="E20" s="6">
        <f>Headcount!C20</f>
        <v>6000</v>
      </c>
      <c r="F20" s="6">
        <f>OpEx!F20</f>
        <v>1620</v>
      </c>
      <c r="G20" s="5">
        <f>D20-E20-F20</f>
        <v>145.44</v>
      </c>
    </row>
    <row r="21" spans="1:7" x14ac:dyDescent="0.25">
      <c r="A21" t="s">
        <v>325</v>
      </c>
      <c r="B21" s="6">
        <f>Revenue!D21</f>
        <v>9542.94</v>
      </c>
      <c r="C21" s="6">
        <f>Revenue!E21</f>
        <v>1114.43</v>
      </c>
      <c r="D21" s="5">
        <f>B21-C21</f>
        <v>8428.51</v>
      </c>
      <c r="E21" s="6">
        <f>Headcount!C21</f>
        <v>6000</v>
      </c>
      <c r="F21" s="6">
        <f>OpEx!F21</f>
        <v>1620</v>
      </c>
      <c r="G21" s="5">
        <f>D21-E21-F21</f>
        <v>808.51</v>
      </c>
    </row>
    <row r="22" spans="1:7" x14ac:dyDescent="0.25">
      <c r="A22" t="s">
        <v>326</v>
      </c>
      <c r="B22" s="6">
        <f>Revenue!D22</f>
        <v>10330.18</v>
      </c>
      <c r="C22" s="6">
        <f>Revenue!E22</f>
        <v>1202.73</v>
      </c>
      <c r="D22" s="5">
        <f>B22-C22</f>
        <v>9127.46</v>
      </c>
      <c r="E22" s="6">
        <f>Headcount!C22</f>
        <v>6000</v>
      </c>
      <c r="F22" s="6">
        <f>OpEx!F22</f>
        <v>1620</v>
      </c>
      <c r="G22" s="5">
        <f>D22-E22-F22</f>
        <v>1507.46</v>
      </c>
    </row>
    <row r="23" spans="1:7" x14ac:dyDescent="0.25">
      <c r="A23" t="s">
        <v>327</v>
      </c>
      <c r="B23" s="6">
        <f>Revenue!D23</f>
        <v>11159.64</v>
      </c>
      <c r="C23" s="6">
        <f>Revenue!E23</f>
        <v>1295.38</v>
      </c>
      <c r="D23" s="5">
        <f>B23-C23</f>
        <v>9864.25</v>
      </c>
      <c r="E23" s="6">
        <f>Headcount!C23</f>
        <v>6000</v>
      </c>
      <c r="F23" s="6">
        <f>OpEx!F23</f>
        <v>1620</v>
      </c>
      <c r="G23" s="5">
        <f>D23-E23-F23</f>
        <v>2244.25</v>
      </c>
    </row>
    <row r="24" spans="1:7" x14ac:dyDescent="0.25">
      <c r="A24" t="s">
        <v>328</v>
      </c>
      <c r="B24" s="6">
        <f>Revenue!D24</f>
        <v>12033.59</v>
      </c>
      <c r="C24" s="6">
        <f>Revenue!E24</f>
        <v>1392.63</v>
      </c>
      <c r="D24" s="5">
        <f>B24-C24</f>
        <v>10640.96</v>
      </c>
      <c r="E24" s="6">
        <f>Headcount!C24</f>
        <v>6000</v>
      </c>
      <c r="F24" s="6">
        <f>OpEx!F24</f>
        <v>1620</v>
      </c>
      <c r="G24" s="5">
        <f>D24-E24-F24</f>
        <v>3020.96</v>
      </c>
    </row>
    <row r="25" spans="1:7" x14ac:dyDescent="0.25">
      <c r="A25" t="s">
        <v>329</v>
      </c>
      <c r="B25" s="6">
        <f>Revenue!D25</f>
        <v>12954.45</v>
      </c>
      <c r="C25" s="6">
        <f>Revenue!E25</f>
        <v>1494.69</v>
      </c>
      <c r="D25" s="5">
        <f>B25-C25</f>
        <v>11459.76</v>
      </c>
      <c r="E25" s="6">
        <f>Headcount!C25</f>
        <v>6000</v>
      </c>
      <c r="F25" s="6">
        <f>OpEx!F25</f>
        <v>3620</v>
      </c>
      <c r="G25" s="5">
        <f>D25-E25-F25</f>
        <v>1839.76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301</v>
      </c>
      <c r="B1" s="1" t="s">
        <v>341</v>
      </c>
      <c r="C1" s="1" t="s">
        <v>340</v>
      </c>
      <c r="D1" s="1" t="s">
        <v>342</v>
      </c>
      <c r="E1" s="1" t="s">
        <v>343</v>
      </c>
      <c r="F1" s="1" t="s">
        <v>344</v>
      </c>
    </row>
    <row r="2" spans="1:6" x14ac:dyDescent="0.25">
      <c r="A2" t="s">
        <v>24</v>
      </c>
      <c r="B2" s="5">
        <f>10000</f>
        <v>10000</v>
      </c>
      <c r="C2" s="6">
        <f>Statements!G2</f>
        <v>-8924.65</v>
      </c>
      <c r="D2" s="5">
        <f>CHOOSE(MATCH(ScenarioSelector,{"Base","Upside","Downside"},0),0,0,0)</f>
        <v>0</v>
      </c>
      <c r="E2" s="5">
        <f>C2+D2</f>
        <v>-8924.65</v>
      </c>
      <c r="F2" s="5">
        <f>B2+E2</f>
        <v>1075.35</v>
      </c>
    </row>
    <row r="3" spans="1:6" x14ac:dyDescent="0.25">
      <c r="A3" t="s">
        <v>307</v>
      </c>
      <c r="B3" s="5">
        <f>F2</f>
        <v>1075.35</v>
      </c>
      <c r="C3" s="6">
        <f>Statements!G3</f>
        <v>-9366.24</v>
      </c>
      <c r="D3" s="5">
        <f>CHOOSE(MATCH(ScenarioSelector,{"Base","Upside","Downside"},0),0,0,0)</f>
        <v>0</v>
      </c>
      <c r="E3" s="5">
        <f>C3+D3</f>
        <v>-9366.24</v>
      </c>
      <c r="F3" s="5">
        <f>B3+E3</f>
        <v>-8290.89</v>
      </c>
    </row>
    <row r="4" spans="1:6" x14ac:dyDescent="0.25">
      <c r="A4" t="s">
        <v>308</v>
      </c>
      <c r="B4" s="5">
        <f>F3</f>
        <v>-8290.89</v>
      </c>
      <c r="C4" s="6">
        <f>Statements!G4</f>
        <v>-594.06</v>
      </c>
      <c r="D4" s="5">
        <f>CHOOSE(MATCH(ScenarioSelector,{"Base","Upside","Downside"},0),0,0,0)</f>
        <v>0</v>
      </c>
      <c r="E4" s="5">
        <f>C4+D4</f>
        <v>-594.06</v>
      </c>
      <c r="F4" s="5">
        <f>B4+E4</f>
        <v>-8884.96</v>
      </c>
    </row>
    <row r="5" spans="1:6" x14ac:dyDescent="0.25">
      <c r="A5" t="s">
        <v>309</v>
      </c>
      <c r="B5" s="5">
        <f>F4</f>
        <v>-8884.96</v>
      </c>
      <c r="C5" s="6">
        <f>Statements!G5</f>
        <v>-307.36</v>
      </c>
      <c r="D5" s="5">
        <f>CHOOSE(MATCH(ScenarioSelector,{"Base","Upside","Downside"},0),0,0,0)</f>
        <v>0</v>
      </c>
      <c r="E5" s="5">
        <f>C5+D5</f>
        <v>-307.36</v>
      </c>
      <c r="F5" s="5">
        <f>B5+E5</f>
        <v>-9192.32</v>
      </c>
    </row>
    <row r="6" spans="1:6" x14ac:dyDescent="0.25">
      <c r="A6" t="s">
        <v>310</v>
      </c>
      <c r="B6" s="5">
        <f>F5</f>
        <v>-9192.32</v>
      </c>
      <c r="C6" s="6">
        <f>Statements!G6</f>
        <v>-5.34</v>
      </c>
      <c r="D6" s="5">
        <f>CHOOSE(MATCH(ScenarioSelector,{"Base","Upside","Downside"},0),0,0,0)</f>
        <v>0</v>
      </c>
      <c r="E6" s="5">
        <f>C6+D6</f>
        <v>-5.34</v>
      </c>
      <c r="F6" s="5">
        <f>B6+E6</f>
        <v>-9197.66</v>
      </c>
    </row>
    <row r="7" spans="1:6" x14ac:dyDescent="0.25">
      <c r="A7" t="s">
        <v>311</v>
      </c>
      <c r="B7" s="5">
        <f>F6</f>
        <v>-9197.66</v>
      </c>
      <c r="C7" s="6">
        <f>Statements!G7</f>
        <v>-1487.17</v>
      </c>
      <c r="D7" s="5">
        <f>CHOOSE(MATCH(ScenarioSelector,{"Base","Upside","Downside"},0),0,0,0)</f>
        <v>0</v>
      </c>
      <c r="E7" s="5">
        <f>C7+D7</f>
        <v>-1487.17</v>
      </c>
      <c r="F7" s="5">
        <f>B7+E7</f>
        <v>-10684.83</v>
      </c>
    </row>
    <row r="8" spans="1:6" x14ac:dyDescent="0.25">
      <c r="A8" t="s">
        <v>312</v>
      </c>
      <c r="B8" s="5">
        <f>F7</f>
        <v>-10684.83</v>
      </c>
      <c r="C8" s="6">
        <f>Statements!G8</f>
        <v>648.04</v>
      </c>
      <c r="D8" s="5">
        <f>CHOOSE(MATCH(ScenarioSelector,{"Base","Upside","Downside"},0),0,0,0)</f>
        <v>0</v>
      </c>
      <c r="E8" s="5">
        <f>C8+D8</f>
        <v>648.04</v>
      </c>
      <c r="F8" s="5">
        <f>B8+E8</f>
        <v>-10036.79</v>
      </c>
    </row>
    <row r="9" spans="1:6" x14ac:dyDescent="0.25">
      <c r="A9" t="s">
        <v>313</v>
      </c>
      <c r="B9" s="5">
        <f>F8</f>
        <v>-10036.79</v>
      </c>
      <c r="C9" s="6">
        <f>Statements!G9</f>
        <v>1001.22</v>
      </c>
      <c r="D9" s="5">
        <f>CHOOSE(MATCH(ScenarioSelector,{"Base","Upside","Downside"},0),0,0,0)</f>
        <v>0</v>
      </c>
      <c r="E9" s="5">
        <f>C9+D9</f>
        <v>1001.22</v>
      </c>
      <c r="F9" s="5">
        <f>B9+E9</f>
        <v>-9035.57</v>
      </c>
    </row>
    <row r="10" spans="1:6" x14ac:dyDescent="0.25">
      <c r="A10" t="s">
        <v>314</v>
      </c>
      <c r="B10" s="5">
        <f>F9</f>
        <v>-9035.57</v>
      </c>
      <c r="C10" s="6">
        <f>Statements!G10</f>
        <v>1373.35</v>
      </c>
      <c r="D10" s="5">
        <f>CHOOSE(MATCH(ScenarioSelector,{"Base","Upside","Downside"},0),0,0,0)</f>
        <v>0</v>
      </c>
      <c r="E10" s="5">
        <f>C10+D10</f>
        <v>1373.35</v>
      </c>
      <c r="F10" s="5">
        <f>B10+E10</f>
        <v>-7662.22</v>
      </c>
    </row>
    <row r="11" spans="1:6" x14ac:dyDescent="0.25">
      <c r="A11" t="s">
        <v>315</v>
      </c>
      <c r="B11" s="5">
        <f>F10</f>
        <v>-7662.22</v>
      </c>
      <c r="C11" s="6">
        <f>Statements!G11</f>
        <v>1765.47</v>
      </c>
      <c r="D11" s="5">
        <f>CHOOSE(MATCH(ScenarioSelector,{"Base","Upside","Downside"},0),0,0,0)</f>
        <v>0</v>
      </c>
      <c r="E11" s="5">
        <f>C11+D11</f>
        <v>1765.47</v>
      </c>
      <c r="F11" s="5">
        <f>B11+E11</f>
        <v>-5896.75</v>
      </c>
    </row>
    <row r="12" spans="1:6" x14ac:dyDescent="0.25">
      <c r="A12" t="s">
        <v>316</v>
      </c>
      <c r="B12" s="5">
        <f>F11</f>
        <v>-5896.75</v>
      </c>
      <c r="C12" s="6">
        <f>Statements!G12</f>
        <v>2178.67</v>
      </c>
      <c r="D12" s="5">
        <f>CHOOSE(MATCH(ScenarioSelector,{"Base","Upside","Downside"},0),0,0,0)</f>
        <v>0</v>
      </c>
      <c r="E12" s="5">
        <f>C12+D12</f>
        <v>2178.67</v>
      </c>
      <c r="F12" s="5">
        <f>B12+E12</f>
        <v>-3718.08</v>
      </c>
    </row>
    <row r="13" spans="1:6" x14ac:dyDescent="0.25">
      <c r="A13" t="s">
        <v>317</v>
      </c>
      <c r="B13" s="5">
        <f>F12</f>
        <v>-3718.08</v>
      </c>
      <c r="C13" s="6">
        <f>Statements!G13</f>
        <v>614.1</v>
      </c>
      <c r="D13" s="5">
        <f>CHOOSE(MATCH(ScenarioSelector,{"Base","Upside","Downside"},0),0,0,0)</f>
        <v>0</v>
      </c>
      <c r="E13" s="5">
        <f>C13+D13</f>
        <v>614.1</v>
      </c>
      <c r="F13" s="5">
        <f>B13+E13</f>
        <v>-3103.98</v>
      </c>
    </row>
    <row r="14" spans="1:6" x14ac:dyDescent="0.25">
      <c r="A14" t="s">
        <v>318</v>
      </c>
      <c r="B14" s="5">
        <f>F13</f>
        <v>-3103.98</v>
      </c>
      <c r="C14" s="6">
        <f>Statements!G14</f>
        <v>-6927.03</v>
      </c>
      <c r="D14" s="5">
        <f>CHOOSE(MATCH(ScenarioSelector,{"Base","Upside","Downside"},0),0,0,0)</f>
        <v>0</v>
      </c>
      <c r="E14" s="5">
        <f>C14+D14</f>
        <v>-6927.03</v>
      </c>
      <c r="F14" s="5">
        <f>B14+E14</f>
        <v>-10031.01</v>
      </c>
    </row>
    <row r="15" spans="1:6" x14ac:dyDescent="0.25">
      <c r="A15" t="s">
        <v>319</v>
      </c>
      <c r="B15" s="5">
        <f>F14</f>
        <v>-10031.01</v>
      </c>
      <c r="C15" s="6">
        <f>Statements!G15</f>
        <v>-13193.43</v>
      </c>
      <c r="D15" s="5">
        <f>CHOOSE(MATCH(ScenarioSelector,{"Base","Upside","Downside"},0),0,0,0)</f>
        <v>0</v>
      </c>
      <c r="E15" s="5">
        <f>C15+D15</f>
        <v>-13193.43</v>
      </c>
      <c r="F15" s="5">
        <f>B15+E15</f>
        <v>-23224.44</v>
      </c>
    </row>
    <row r="16" spans="1:6" x14ac:dyDescent="0.25">
      <c r="A16" t="s">
        <v>320</v>
      </c>
      <c r="B16" s="5">
        <f>F15</f>
        <v>-23224.44</v>
      </c>
      <c r="C16" s="6">
        <f>Statements!G16</f>
        <v>-2183.75</v>
      </c>
      <c r="D16" s="5">
        <f>CHOOSE(MATCH(ScenarioSelector,{"Base","Upside","Downside"},0),0,0,0)</f>
        <v>0</v>
      </c>
      <c r="E16" s="5">
        <f>C16+D16</f>
        <v>-2183.75</v>
      </c>
      <c r="F16" s="5">
        <f>B16+E16</f>
        <v>-25408.19</v>
      </c>
    </row>
    <row r="17" spans="1:6" x14ac:dyDescent="0.25">
      <c r="A17" t="s">
        <v>321</v>
      </c>
      <c r="B17" s="5">
        <f>F16</f>
        <v>-25408.19</v>
      </c>
      <c r="C17" s="6">
        <f>Statements!G17</f>
        <v>-1646.57</v>
      </c>
      <c r="D17" s="5">
        <f>CHOOSE(MATCH(ScenarioSelector,{"Base","Upside","Downside"},0),0,0,0)</f>
        <v>0</v>
      </c>
      <c r="E17" s="5">
        <f>C17+D17</f>
        <v>-1646.57</v>
      </c>
      <c r="F17" s="5">
        <f>B17+E17</f>
        <v>-27054.76</v>
      </c>
    </row>
    <row r="18" spans="1:6" x14ac:dyDescent="0.25">
      <c r="A18" t="s">
        <v>322</v>
      </c>
      <c r="B18" s="5">
        <f>F17</f>
        <v>-27054.76</v>
      </c>
      <c r="C18" s="6">
        <f>Statements!G18</f>
        <v>-1080.38</v>
      </c>
      <c r="D18" s="5">
        <f>CHOOSE(MATCH(ScenarioSelector,{"Base","Upside","Downside"},0),0,0,0)</f>
        <v>0</v>
      </c>
      <c r="E18" s="5">
        <f>C18+D18</f>
        <v>-1080.38</v>
      </c>
      <c r="F18" s="5">
        <f>B18+E18</f>
        <v>-28135.13</v>
      </c>
    </row>
    <row r="19" spans="1:6" x14ac:dyDescent="0.25">
      <c r="A19" t="s">
        <v>323</v>
      </c>
      <c r="B19" s="5">
        <f>F18</f>
        <v>-28135.13</v>
      </c>
      <c r="C19" s="6">
        <f>Statements!G19</f>
        <v>-933.6</v>
      </c>
      <c r="D19" s="5">
        <f>CHOOSE(MATCH(ScenarioSelector,{"Base","Upside","Downside"},0),0,0,0)</f>
        <v>0</v>
      </c>
      <c r="E19" s="5">
        <f>C19+D19</f>
        <v>-933.6</v>
      </c>
      <c r="F19" s="5">
        <f>B19+E19</f>
        <v>-29068.73</v>
      </c>
    </row>
    <row r="20" spans="1:6" x14ac:dyDescent="0.25">
      <c r="A20" t="s">
        <v>324</v>
      </c>
      <c r="B20" s="5">
        <f>F19</f>
        <v>-29068.73</v>
      </c>
      <c r="C20" s="6">
        <f>Statements!G20</f>
        <v>145.44</v>
      </c>
      <c r="D20" s="5">
        <f>CHOOSE(MATCH(ScenarioSelector,{"Base","Upside","Downside"},0),0,0,0)</f>
        <v>0</v>
      </c>
      <c r="E20" s="5">
        <f>C20+D20</f>
        <v>145.44</v>
      </c>
      <c r="F20" s="5">
        <f>B20+E20</f>
        <v>-28923.29</v>
      </c>
    </row>
    <row r="21" spans="1:6" x14ac:dyDescent="0.25">
      <c r="A21" t="s">
        <v>325</v>
      </c>
      <c r="B21" s="5">
        <f>F20</f>
        <v>-28923.29</v>
      </c>
      <c r="C21" s="6">
        <f>Statements!G21</f>
        <v>808.51</v>
      </c>
      <c r="D21" s="5">
        <f>CHOOSE(MATCH(ScenarioSelector,{"Base","Upside","Downside"},0),0,0,0)</f>
        <v>0</v>
      </c>
      <c r="E21" s="5">
        <f>C21+D21</f>
        <v>808.51</v>
      </c>
      <c r="F21" s="5">
        <f>B21+E21</f>
        <v>-28114.78</v>
      </c>
    </row>
    <row r="22" spans="1:6" x14ac:dyDescent="0.25">
      <c r="A22" t="s">
        <v>326</v>
      </c>
      <c r="B22" s="5">
        <f>F21</f>
        <v>-28114.78</v>
      </c>
      <c r="C22" s="6">
        <f>Statements!G22</f>
        <v>1507.46</v>
      </c>
      <c r="D22" s="5">
        <f>CHOOSE(MATCH(ScenarioSelector,{"Base","Upside","Downside"},0),0,0,0)</f>
        <v>0</v>
      </c>
      <c r="E22" s="5">
        <f>C22+D22</f>
        <v>1507.46</v>
      </c>
      <c r="F22" s="5">
        <f>B22+E22</f>
        <v>-26607.33</v>
      </c>
    </row>
    <row r="23" spans="1:6" x14ac:dyDescent="0.25">
      <c r="A23" t="s">
        <v>327</v>
      </c>
      <c r="B23" s="5">
        <f>F22</f>
        <v>-26607.33</v>
      </c>
      <c r="C23" s="6">
        <f>Statements!G23</f>
        <v>2244.25</v>
      </c>
      <c r="D23" s="5">
        <f>CHOOSE(MATCH(ScenarioSelector,{"Base","Upside","Downside"},0),0,0,0)</f>
        <v>0</v>
      </c>
      <c r="E23" s="5">
        <f>C23+D23</f>
        <v>2244.25</v>
      </c>
      <c r="F23" s="5">
        <f>B23+E23</f>
        <v>-24363.07</v>
      </c>
    </row>
    <row r="24" spans="1:6" x14ac:dyDescent="0.25">
      <c r="A24" t="s">
        <v>328</v>
      </c>
      <c r="B24" s="5">
        <f>F23</f>
        <v>-24363.07</v>
      </c>
      <c r="C24" s="6">
        <f>Statements!G24</f>
        <v>3020.96</v>
      </c>
      <c r="D24" s="5">
        <f>CHOOSE(MATCH(ScenarioSelector,{"Base","Upside","Downside"},0),0,0,0)</f>
        <v>0</v>
      </c>
      <c r="E24" s="5">
        <f>C24+D24</f>
        <v>3020.96</v>
      </c>
      <c r="F24" s="5">
        <f>B24+E24</f>
        <v>-21342.11</v>
      </c>
    </row>
    <row r="25" spans="1:6" x14ac:dyDescent="0.25">
      <c r="A25" t="s">
        <v>329</v>
      </c>
      <c r="B25" s="5">
        <f>F24</f>
        <v>-21342.11</v>
      </c>
      <c r="C25" s="6">
        <f>Statements!G25</f>
        <v>1839.76</v>
      </c>
      <c r="D25" s="5">
        <f>CHOOSE(MATCH(ScenarioSelector,{"Base","Upside","Downside"},0),0,0,0)</f>
        <v>0</v>
      </c>
      <c r="E25" s="5">
        <f>C25+D25</f>
        <v>1839.76</v>
      </c>
      <c r="F25" s="5">
        <f>B25+E25</f>
        <v>-19502.35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293</v>
      </c>
      <c r="B1" s="1" t="s">
        <v>345</v>
      </c>
      <c r="C1" s="1" t="s">
        <v>346</v>
      </c>
    </row>
    <row r="2" spans="1:3" x14ac:dyDescent="0.25">
      <c r="A2" t="s">
        <v>296</v>
      </c>
      <c r="B2" s="6">
        <f>CHOOSE(MATCH(ScenarioSelector,{"Base","Upside","Downside"},0),Scenarios!B2,Scenarios!C2,Scenarios!D2)</f>
        <v>378843.46</v>
      </c>
      <c r="C2" t="s">
        <v>9</v>
      </c>
    </row>
    <row r="3" spans="1:3" x14ac:dyDescent="0.25">
      <c r="A3" t="s">
        <v>297</v>
      </c>
      <c r="B3" s="6">
        <f>CHOOSE(MATCH(ScenarioSelector,{"Base","Upside","Downside"},0),Scenarios!B3,Scenarios!C3,Scenarios!D3)</f>
        <v>31600.26</v>
      </c>
      <c r="C3" t="s">
        <v>9</v>
      </c>
    </row>
    <row r="4" spans="1:3" x14ac:dyDescent="0.25">
      <c r="A4" t="s">
        <v>298</v>
      </c>
      <c r="B4" s="6">
        <f>CHOOSE(MATCH(ScenarioSelector,{"Base","Upside","Downside"},0),Scenarios!B4,Scenarios!C4,Scenarios!D4)</f>
        <v>29068.73</v>
      </c>
      <c r="C4" t="s">
        <v>9</v>
      </c>
    </row>
    <row r="5" spans="1:3" x14ac:dyDescent="0.25">
      <c r="A5" t="s">
        <v>299</v>
      </c>
      <c r="B5" s="6">
        <f>CHOOSE(MATCH(ScenarioSelector,{"Base","Upside","Downside"},0),Scenarios!B5,Scenarios!C5,Scenarios!D5)</f>
        <v>7</v>
      </c>
      <c r="C5" t="s">
        <v>9</v>
      </c>
    </row>
    <row r="6" spans="1:3" x14ac:dyDescent="0.25">
      <c r="A6" t="s">
        <v>300</v>
      </c>
      <c r="B6" s="6">
        <f>CHOOSE(MATCH(ScenarioSelector,{"Base","Upside","Downside"},0),Scenarios!B6,Scenarios!C6,Scenarios!D6)</f>
        <v>0.89</v>
      </c>
      <c r="C6" t="s">
        <v>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" s="1" customFormat="1" x14ac:dyDescent="0.25">
      <c r="A1" s="1" t="s">
        <v>347</v>
      </c>
      <c r="B1" s="1" t="s">
        <v>348</v>
      </c>
    </row>
    <row r="2" spans="1:2" x14ac:dyDescent="0.25">
      <c r="A2" t="s">
        <v>349</v>
      </c>
      <c r="B2" s="6" t="b">
        <f>ABS(Cash!F25-(Cash!B25+Cash!E25))&lt;0.01</f>
        <v>1</v>
      </c>
    </row>
    <row r="3" spans="1:2" x14ac:dyDescent="0.25">
      <c r="A3" t="s">
        <v>350</v>
      </c>
      <c r="B3" s="6" t="b">
        <f>SUM(Headcount!C2:C25)=SUM(Headcount!C2:C25)</f>
        <v>1</v>
      </c>
    </row>
    <row r="4" spans="1:2" x14ac:dyDescent="0.25">
      <c r="A4" t="s">
        <v>351</v>
      </c>
      <c r="B4" s="6" t="b">
        <f>COUNTA(Assumptions!B4:B173)=170</f>
        <v>1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352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353</v>
      </c>
    </row>
    <row r="2" spans="1:6" x14ac:dyDescent="0.25">
      <c r="F2" t="s">
        <v>9</v>
      </c>
    </row>
    <row r="3" spans="1:6" x14ac:dyDescent="0.25">
      <c r="A3" t="s">
        <v>17</v>
      </c>
      <c r="B3" t="s">
        <v>18</v>
      </c>
      <c r="C3" t="s">
        <v>14</v>
      </c>
      <c r="D3" t="s">
        <v>15</v>
      </c>
      <c r="E3" t="s">
        <v>16</v>
      </c>
      <c r="F3" t="s">
        <v>9</v>
      </c>
    </row>
    <row r="4" spans="1:6" x14ac:dyDescent="0.25">
      <c r="A4" t="s">
        <v>19</v>
      </c>
      <c r="B4" t="s">
        <v>20</v>
      </c>
      <c r="C4" t="s">
        <v>22</v>
      </c>
      <c r="D4" t="s">
        <v>15</v>
      </c>
      <c r="E4" t="s">
        <v>16</v>
      </c>
      <c r="F4" t="s">
        <v>9</v>
      </c>
    </row>
    <row r="5" spans="1:6" x14ac:dyDescent="0.25">
      <c r="A5" t="s">
        <v>23</v>
      </c>
      <c r="B5" t="s">
        <v>24</v>
      </c>
      <c r="C5" t="s">
        <v>26</v>
      </c>
      <c r="D5" t="s">
        <v>15</v>
      </c>
      <c r="E5" t="s">
        <v>27</v>
      </c>
      <c r="F5" t="s">
        <v>9</v>
      </c>
    </row>
    <row r="6" spans="1:6" x14ac:dyDescent="0.25">
      <c r="A6" t="s">
        <v>28</v>
      </c>
      <c r="B6" s="4">
        <v>36</v>
      </c>
      <c r="C6" t="s">
        <v>30</v>
      </c>
      <c r="D6" t="s">
        <v>15</v>
      </c>
      <c r="E6" t="s">
        <v>27</v>
      </c>
      <c r="F6" t="s">
        <v>9</v>
      </c>
    </row>
    <row r="7" spans="1:6" x14ac:dyDescent="0.25">
      <c r="A7" t="s">
        <v>31</v>
      </c>
      <c r="B7" s="4">
        <v>10000</v>
      </c>
      <c r="C7" t="s">
        <v>32</v>
      </c>
      <c r="D7" t="s">
        <v>15</v>
      </c>
      <c r="E7" t="s">
        <v>33</v>
      </c>
      <c r="F7" t="s">
        <v>9</v>
      </c>
    </row>
    <row r="8" spans="1:6" x14ac:dyDescent="0.25">
      <c r="A8" t="s">
        <v>34</v>
      </c>
      <c r="B8" t="s">
        <v>35</v>
      </c>
      <c r="C8" t="s">
        <v>36</v>
      </c>
      <c r="D8" t="s">
        <v>15</v>
      </c>
      <c r="E8" t="s">
        <v>27</v>
      </c>
      <c r="F8" t="s">
        <v>9</v>
      </c>
    </row>
    <row r="9" spans="1:6" x14ac:dyDescent="0.25">
      <c r="A9" t="s">
        <v>37</v>
      </c>
      <c r="B9" s="4">
        <v>800</v>
      </c>
      <c r="C9" t="s">
        <v>38</v>
      </c>
      <c r="D9" t="s">
        <v>15</v>
      </c>
      <c r="E9" t="s">
        <v>27</v>
      </c>
      <c r="F9" t="s">
        <v>9</v>
      </c>
    </row>
    <row r="10" spans="1:6" x14ac:dyDescent="0.25">
      <c r="A10" t="s">
        <v>39</v>
      </c>
      <c r="B10" t="s">
        <v>40</v>
      </c>
      <c r="C10" t="s">
        <v>42</v>
      </c>
      <c r="D10" t="s">
        <v>15</v>
      </c>
      <c r="E10" t="s">
        <v>16</v>
      </c>
      <c r="F10" t="s">
        <v>9</v>
      </c>
    </row>
    <row r="11" spans="1:6" x14ac:dyDescent="0.25">
      <c r="A11" t="s">
        <v>43</v>
      </c>
      <c r="B11" s="4">
        <v>1</v>
      </c>
      <c r="C11" t="s">
        <v>42</v>
      </c>
      <c r="D11" t="s">
        <v>15</v>
      </c>
      <c r="E11" t="s">
        <v>27</v>
      </c>
      <c r="F11" t="s">
        <v>9</v>
      </c>
    </row>
    <row r="12" spans="1:6" x14ac:dyDescent="0.25">
      <c r="A12" t="s">
        <v>45</v>
      </c>
      <c r="B12" s="4">
        <v>1</v>
      </c>
      <c r="C12" t="s">
        <v>42</v>
      </c>
      <c r="D12" t="s">
        <v>15</v>
      </c>
      <c r="E12" t="s">
        <v>27</v>
      </c>
      <c r="F12" t="s">
        <v>9</v>
      </c>
    </row>
    <row r="13" spans="1:6" x14ac:dyDescent="0.25">
      <c r="A13" t="s">
        <v>46</v>
      </c>
      <c r="B13" t="s">
        <v>47</v>
      </c>
      <c r="C13" t="s">
        <v>48</v>
      </c>
      <c r="D13" t="s">
        <v>15</v>
      </c>
      <c r="E13" t="s">
        <v>27</v>
      </c>
      <c r="F13" t="s">
        <v>9</v>
      </c>
    </row>
    <row r="14" spans="1:6" x14ac:dyDescent="0.25">
      <c r="A14" t="s">
        <v>49</v>
      </c>
      <c r="B14" s="4">
        <v>150</v>
      </c>
      <c r="C14" t="s">
        <v>50</v>
      </c>
      <c r="D14" t="s">
        <v>15</v>
      </c>
      <c r="E14" t="s">
        <v>27</v>
      </c>
      <c r="F14" t="s">
        <v>9</v>
      </c>
    </row>
    <row r="15" spans="1:6" x14ac:dyDescent="0.25">
      <c r="A15" t="s">
        <v>51</v>
      </c>
      <c r="B15" t="s">
        <v>52</v>
      </c>
      <c r="C15" t="s">
        <v>48</v>
      </c>
      <c r="D15" t="s">
        <v>15</v>
      </c>
      <c r="E15" t="s">
        <v>16</v>
      </c>
      <c r="F15" t="s">
        <v>9</v>
      </c>
    </row>
    <row r="16" spans="1:6" x14ac:dyDescent="0.25">
      <c r="A16" t="s">
        <v>53</v>
      </c>
      <c r="B16" s="4">
        <v>1</v>
      </c>
      <c r="C16" t="s">
        <v>48</v>
      </c>
      <c r="D16" t="s">
        <v>15</v>
      </c>
      <c r="E16" t="s">
        <v>27</v>
      </c>
      <c r="F16" t="s">
        <v>9</v>
      </c>
    </row>
    <row r="17" spans="1:6" x14ac:dyDescent="0.25">
      <c r="A17" t="s">
        <v>54</v>
      </c>
      <c r="B17" s="4">
        <v>36</v>
      </c>
      <c r="C17" t="s">
        <v>48</v>
      </c>
      <c r="D17" t="s">
        <v>15</v>
      </c>
      <c r="E17" t="s">
        <v>27</v>
      </c>
      <c r="F17" t="s">
        <v>9</v>
      </c>
    </row>
    <row r="18" spans="1:6" x14ac:dyDescent="0.25">
      <c r="A18" t="s">
        <v>55</v>
      </c>
      <c r="B18" t="s">
        <v>56</v>
      </c>
      <c r="C18" t="s">
        <v>57</v>
      </c>
      <c r="D18" t="s">
        <v>15</v>
      </c>
      <c r="E18" t="s">
        <v>16</v>
      </c>
      <c r="F18" t="s">
        <v>9</v>
      </c>
    </row>
    <row r="19" spans="1:6" x14ac:dyDescent="0.25">
      <c r="A19" t="s">
        <v>58</v>
      </c>
      <c r="B19" s="4">
        <v>450</v>
      </c>
      <c r="C19" t="s">
        <v>59</v>
      </c>
      <c r="D19" t="s">
        <v>15</v>
      </c>
      <c r="E19" t="s">
        <v>16</v>
      </c>
      <c r="F19" t="s">
        <v>9</v>
      </c>
    </row>
    <row r="20" spans="1:6" x14ac:dyDescent="0.25">
      <c r="A20" t="s">
        <v>60</v>
      </c>
      <c r="B20" t="s">
        <v>52</v>
      </c>
      <c r="C20" t="s">
        <v>57</v>
      </c>
      <c r="D20" t="s">
        <v>15</v>
      </c>
      <c r="E20" t="s">
        <v>16</v>
      </c>
      <c r="F20" t="s">
        <v>9</v>
      </c>
    </row>
    <row r="21" spans="1:6" x14ac:dyDescent="0.25">
      <c r="A21" t="s">
        <v>61</v>
      </c>
      <c r="B21" s="4">
        <v>6</v>
      </c>
      <c r="C21" t="s">
        <v>57</v>
      </c>
      <c r="D21" t="s">
        <v>15</v>
      </c>
      <c r="E21" t="s">
        <v>16</v>
      </c>
      <c r="F21" t="s">
        <v>9</v>
      </c>
    </row>
    <row r="22" spans="1:6" x14ac:dyDescent="0.25">
      <c r="A22" t="s">
        <v>62</v>
      </c>
      <c r="B22" s="4">
        <v>36</v>
      </c>
      <c r="C22" t="s">
        <v>57</v>
      </c>
      <c r="D22" t="s">
        <v>15</v>
      </c>
      <c r="E22" t="s">
        <v>16</v>
      </c>
      <c r="F22" t="s">
        <v>9</v>
      </c>
    </row>
    <row r="23" spans="1:6" x14ac:dyDescent="0.25">
      <c r="A23" t="s">
        <v>63</v>
      </c>
      <c r="B23" t="s">
        <v>64</v>
      </c>
      <c r="C23" t="s">
        <v>65</v>
      </c>
      <c r="D23" t="s">
        <v>15</v>
      </c>
      <c r="E23" t="s">
        <v>16</v>
      </c>
      <c r="F23" t="s">
        <v>9</v>
      </c>
    </row>
    <row r="24" spans="1:6" x14ac:dyDescent="0.25">
      <c r="A24" t="s">
        <v>66</v>
      </c>
      <c r="B24" s="4">
        <v>750</v>
      </c>
      <c r="C24" t="s">
        <v>67</v>
      </c>
      <c r="D24" t="s">
        <v>15</v>
      </c>
      <c r="E24" t="s">
        <v>16</v>
      </c>
      <c r="F24" t="s">
        <v>9</v>
      </c>
    </row>
    <row r="25" spans="1:6" x14ac:dyDescent="0.25">
      <c r="A25" t="s">
        <v>68</v>
      </c>
      <c r="B25" t="s">
        <v>40</v>
      </c>
      <c r="C25" t="s">
        <v>65</v>
      </c>
      <c r="D25" t="s">
        <v>15</v>
      </c>
      <c r="E25" t="s">
        <v>16</v>
      </c>
      <c r="F25" t="s">
        <v>9</v>
      </c>
    </row>
    <row r="26" spans="1:6" x14ac:dyDescent="0.25">
      <c r="A26" t="s">
        <v>69</v>
      </c>
      <c r="B26" s="4">
        <v>1</v>
      </c>
      <c r="C26" t="s">
        <v>65</v>
      </c>
      <c r="D26" t="s">
        <v>15</v>
      </c>
      <c r="E26" t="s">
        <v>16</v>
      </c>
      <c r="F26" t="s">
        <v>9</v>
      </c>
    </row>
    <row r="27" spans="1:6" x14ac:dyDescent="0.25">
      <c r="A27" t="s">
        <v>70</v>
      </c>
      <c r="B27" s="4">
        <v>1</v>
      </c>
      <c r="C27" t="s">
        <v>65</v>
      </c>
      <c r="D27" t="s">
        <v>15</v>
      </c>
      <c r="E27" t="s">
        <v>16</v>
      </c>
      <c r="F27" t="s">
        <v>9</v>
      </c>
    </row>
    <row r="28" spans="1:6" x14ac:dyDescent="0.25">
      <c r="A28" t="s">
        <v>71</v>
      </c>
      <c r="B28" t="s">
        <v>72</v>
      </c>
      <c r="C28" t="s">
        <v>73</v>
      </c>
      <c r="D28" t="s">
        <v>15</v>
      </c>
      <c r="E28" t="s">
        <v>33</v>
      </c>
      <c r="F28" t="s">
        <v>9</v>
      </c>
    </row>
    <row r="29" spans="1:6" x14ac:dyDescent="0.25">
      <c r="A29" t="s">
        <v>74</v>
      </c>
      <c r="B29" s="4">
        <v>2500</v>
      </c>
      <c r="C29" t="s">
        <v>73</v>
      </c>
      <c r="D29" t="s">
        <v>15</v>
      </c>
      <c r="E29" t="s">
        <v>33</v>
      </c>
      <c r="F29" t="s">
        <v>9</v>
      </c>
    </row>
    <row r="30" spans="1:6" x14ac:dyDescent="0.25">
      <c r="A30" t="s">
        <v>75</v>
      </c>
      <c r="B30" t="s">
        <v>40</v>
      </c>
      <c r="C30" t="s">
        <v>73</v>
      </c>
      <c r="D30" t="s">
        <v>15</v>
      </c>
      <c r="E30" t="s">
        <v>16</v>
      </c>
      <c r="F30" t="s">
        <v>9</v>
      </c>
    </row>
    <row r="31" spans="1:6" x14ac:dyDescent="0.25">
      <c r="A31" t="s">
        <v>76</v>
      </c>
      <c r="B31" s="4">
        <v>1</v>
      </c>
      <c r="C31" t="s">
        <v>73</v>
      </c>
      <c r="D31" t="s">
        <v>15</v>
      </c>
      <c r="E31" t="s">
        <v>33</v>
      </c>
      <c r="F31" t="s">
        <v>9</v>
      </c>
    </row>
    <row r="32" spans="1:6" x14ac:dyDescent="0.25">
      <c r="A32" t="s">
        <v>77</v>
      </c>
      <c r="B32" s="4">
        <v>1</v>
      </c>
      <c r="C32" t="s">
        <v>73</v>
      </c>
      <c r="D32" t="s">
        <v>15</v>
      </c>
      <c r="E32" t="s">
        <v>33</v>
      </c>
      <c r="F32" t="s">
        <v>9</v>
      </c>
    </row>
    <row r="33" spans="1:6" x14ac:dyDescent="0.25">
      <c r="A33" t="s">
        <v>78</v>
      </c>
      <c r="B33" t="s">
        <v>79</v>
      </c>
      <c r="C33" t="s">
        <v>80</v>
      </c>
      <c r="D33" t="s">
        <v>15</v>
      </c>
      <c r="E33" t="s">
        <v>27</v>
      </c>
      <c r="F33" t="s">
        <v>9</v>
      </c>
    </row>
    <row r="34" spans="1:6" x14ac:dyDescent="0.25">
      <c r="A34" t="s">
        <v>81</v>
      </c>
      <c r="B34" s="4">
        <v>1350</v>
      </c>
      <c r="C34" t="s">
        <v>80</v>
      </c>
      <c r="D34" t="s">
        <v>15</v>
      </c>
      <c r="E34" t="s">
        <v>27</v>
      </c>
      <c r="F34" t="s">
        <v>9</v>
      </c>
    </row>
    <row r="35" spans="1:6" x14ac:dyDescent="0.25">
      <c r="A35" t="s">
        <v>82</v>
      </c>
      <c r="B35" t="s">
        <v>40</v>
      </c>
      <c r="C35" t="s">
        <v>80</v>
      </c>
      <c r="D35" t="s">
        <v>15</v>
      </c>
      <c r="E35" t="s">
        <v>16</v>
      </c>
      <c r="F35" t="s">
        <v>9</v>
      </c>
    </row>
    <row r="36" spans="1:6" x14ac:dyDescent="0.25">
      <c r="A36" t="s">
        <v>83</v>
      </c>
      <c r="B36" s="4">
        <v>6</v>
      </c>
      <c r="C36" t="s">
        <v>80</v>
      </c>
      <c r="D36" t="s">
        <v>15</v>
      </c>
      <c r="E36" t="s">
        <v>27</v>
      </c>
      <c r="F36" t="s">
        <v>9</v>
      </c>
    </row>
    <row r="37" spans="1:6" x14ac:dyDescent="0.25">
      <c r="A37" t="s">
        <v>84</v>
      </c>
      <c r="B37" s="4">
        <v>6</v>
      </c>
      <c r="C37" t="s">
        <v>80</v>
      </c>
      <c r="D37" t="s">
        <v>15</v>
      </c>
      <c r="E37" t="s">
        <v>27</v>
      </c>
      <c r="F37" t="s">
        <v>9</v>
      </c>
    </row>
    <row r="38" spans="1:6" x14ac:dyDescent="0.25">
      <c r="A38" t="s">
        <v>85</v>
      </c>
      <c r="B38" t="s">
        <v>86</v>
      </c>
      <c r="C38" t="s">
        <v>87</v>
      </c>
      <c r="D38" t="s">
        <v>15</v>
      </c>
      <c r="E38" t="s">
        <v>16</v>
      </c>
      <c r="F38" t="s">
        <v>9</v>
      </c>
    </row>
    <row r="39" spans="1:6" x14ac:dyDescent="0.25">
      <c r="A39" t="s">
        <v>88</v>
      </c>
      <c r="B39" s="4">
        <v>0</v>
      </c>
      <c r="C39" t="s">
        <v>87</v>
      </c>
      <c r="D39" t="s">
        <v>15</v>
      </c>
      <c r="E39" t="s">
        <v>16</v>
      </c>
      <c r="F39" t="s">
        <v>9</v>
      </c>
    </row>
    <row r="40" spans="1:6" x14ac:dyDescent="0.25">
      <c r="A40" t="s">
        <v>89</v>
      </c>
      <c r="B40" t="s">
        <v>40</v>
      </c>
      <c r="C40" t="s">
        <v>87</v>
      </c>
      <c r="D40" t="s">
        <v>15</v>
      </c>
      <c r="E40" t="s">
        <v>16</v>
      </c>
      <c r="F40" t="s">
        <v>9</v>
      </c>
    </row>
    <row r="41" spans="1:6" x14ac:dyDescent="0.25">
      <c r="A41" t="s">
        <v>90</v>
      </c>
      <c r="B41" s="4">
        <v>1</v>
      </c>
      <c r="C41" t="s">
        <v>87</v>
      </c>
      <c r="D41" t="s">
        <v>15</v>
      </c>
      <c r="E41" t="s">
        <v>16</v>
      </c>
      <c r="F41" t="s">
        <v>9</v>
      </c>
    </row>
    <row r="42" spans="1:6" x14ac:dyDescent="0.25">
      <c r="A42" t="s">
        <v>91</v>
      </c>
      <c r="B42" s="4">
        <v>1</v>
      </c>
      <c r="C42" t="s">
        <v>87</v>
      </c>
      <c r="D42" t="s">
        <v>15</v>
      </c>
      <c r="E42" t="s">
        <v>16</v>
      </c>
      <c r="F42" t="s">
        <v>9</v>
      </c>
    </row>
    <row r="43" spans="1:6" x14ac:dyDescent="0.25">
      <c r="A43" t="s">
        <v>92</v>
      </c>
      <c r="B43" t="s">
        <v>93</v>
      </c>
      <c r="C43" t="s">
        <v>94</v>
      </c>
      <c r="D43" t="s">
        <v>15</v>
      </c>
      <c r="E43" t="s">
        <v>27</v>
      </c>
      <c r="F43" t="s">
        <v>9</v>
      </c>
    </row>
    <row r="44" spans="1:6" x14ac:dyDescent="0.25">
      <c r="A44" t="s">
        <v>95</v>
      </c>
      <c r="B44" s="4">
        <v>300</v>
      </c>
      <c r="C44" t="s">
        <v>94</v>
      </c>
      <c r="D44" t="s">
        <v>15</v>
      </c>
      <c r="E44" t="s">
        <v>27</v>
      </c>
      <c r="F44" t="s">
        <v>9</v>
      </c>
    </row>
    <row r="45" spans="1:6" x14ac:dyDescent="0.25">
      <c r="A45" t="s">
        <v>96</v>
      </c>
      <c r="B45" t="s">
        <v>97</v>
      </c>
      <c r="C45" t="s">
        <v>94</v>
      </c>
      <c r="D45" t="s">
        <v>15</v>
      </c>
      <c r="E45" t="s">
        <v>16</v>
      </c>
      <c r="F45" t="s">
        <v>9</v>
      </c>
    </row>
    <row r="46" spans="1:6" x14ac:dyDescent="0.25">
      <c r="A46" t="s">
        <v>98</v>
      </c>
      <c r="B46" s="4">
        <v>1</v>
      </c>
      <c r="C46" t="s">
        <v>94</v>
      </c>
      <c r="D46" t="s">
        <v>15</v>
      </c>
      <c r="E46" t="s">
        <v>27</v>
      </c>
      <c r="F46" t="s">
        <v>9</v>
      </c>
    </row>
    <row r="47" spans="1:6" x14ac:dyDescent="0.25">
      <c r="A47" t="s">
        <v>99</v>
      </c>
      <c r="B47" s="4">
        <v>36</v>
      </c>
      <c r="C47" t="s">
        <v>94</v>
      </c>
      <c r="D47" t="s">
        <v>15</v>
      </c>
      <c r="E47" t="s">
        <v>27</v>
      </c>
      <c r="F47" t="s">
        <v>9</v>
      </c>
    </row>
    <row r="48" spans="1:6" x14ac:dyDescent="0.25">
      <c r="A48" t="s">
        <v>100</v>
      </c>
      <c r="B48" t="s">
        <v>101</v>
      </c>
      <c r="C48" t="s">
        <v>102</v>
      </c>
      <c r="D48" t="s">
        <v>15</v>
      </c>
      <c r="E48" t="s">
        <v>27</v>
      </c>
      <c r="F48" t="s">
        <v>9</v>
      </c>
    </row>
    <row r="49" spans="1:6" x14ac:dyDescent="0.25">
      <c r="A49" t="s">
        <v>103</v>
      </c>
      <c r="B49" s="4">
        <v>2000</v>
      </c>
      <c r="C49" t="s">
        <v>102</v>
      </c>
      <c r="D49" t="s">
        <v>15</v>
      </c>
      <c r="E49" t="s">
        <v>27</v>
      </c>
      <c r="F49" t="s">
        <v>9</v>
      </c>
    </row>
    <row r="50" spans="1:6" x14ac:dyDescent="0.25">
      <c r="A50" t="s">
        <v>104</v>
      </c>
      <c r="B50" t="s">
        <v>52</v>
      </c>
      <c r="C50" t="s">
        <v>102</v>
      </c>
      <c r="D50" t="s">
        <v>15</v>
      </c>
      <c r="E50" t="s">
        <v>16</v>
      </c>
      <c r="F50" t="s">
        <v>9</v>
      </c>
    </row>
    <row r="51" spans="1:6" x14ac:dyDescent="0.25">
      <c r="A51" t="s">
        <v>105</v>
      </c>
      <c r="B51" s="4">
        <v>12</v>
      </c>
      <c r="C51" t="s">
        <v>102</v>
      </c>
      <c r="D51" t="s">
        <v>15</v>
      </c>
      <c r="E51" t="s">
        <v>27</v>
      </c>
      <c r="F51" t="s">
        <v>9</v>
      </c>
    </row>
    <row r="52" spans="1:6" x14ac:dyDescent="0.25">
      <c r="A52" t="s">
        <v>106</v>
      </c>
      <c r="B52" s="4">
        <v>36</v>
      </c>
      <c r="C52" t="s">
        <v>102</v>
      </c>
      <c r="D52" t="s">
        <v>15</v>
      </c>
      <c r="E52" t="s">
        <v>27</v>
      </c>
      <c r="F52" t="s">
        <v>9</v>
      </c>
    </row>
    <row r="53" spans="1:6" x14ac:dyDescent="0.25">
      <c r="A53" t="s">
        <v>107</v>
      </c>
      <c r="B53" t="s">
        <v>108</v>
      </c>
      <c r="C53" t="s">
        <v>109</v>
      </c>
      <c r="D53" t="s">
        <v>15</v>
      </c>
      <c r="E53" t="s">
        <v>33</v>
      </c>
      <c r="F53" t="s">
        <v>9</v>
      </c>
    </row>
    <row r="54" spans="1:6" x14ac:dyDescent="0.25">
      <c r="A54" t="s">
        <v>110</v>
      </c>
      <c r="B54" s="4">
        <v>3600</v>
      </c>
      <c r="C54" t="s">
        <v>109</v>
      </c>
      <c r="D54" t="s">
        <v>15</v>
      </c>
      <c r="E54" t="s">
        <v>33</v>
      </c>
      <c r="F54" t="s">
        <v>9</v>
      </c>
    </row>
    <row r="55" spans="1:6" x14ac:dyDescent="0.25">
      <c r="A55" t="s">
        <v>111</v>
      </c>
      <c r="B55" t="s">
        <v>52</v>
      </c>
      <c r="C55" t="s">
        <v>109</v>
      </c>
      <c r="D55" t="s">
        <v>15</v>
      </c>
      <c r="E55" t="s">
        <v>16</v>
      </c>
      <c r="F55" t="s">
        <v>9</v>
      </c>
    </row>
    <row r="56" spans="1:6" x14ac:dyDescent="0.25">
      <c r="A56" t="s">
        <v>112</v>
      </c>
      <c r="B56" s="4">
        <v>1</v>
      </c>
      <c r="C56" t="s">
        <v>109</v>
      </c>
      <c r="D56" t="s">
        <v>15</v>
      </c>
      <c r="E56" t="s">
        <v>33</v>
      </c>
      <c r="F56" t="s">
        <v>9</v>
      </c>
    </row>
    <row r="57" spans="1:6" x14ac:dyDescent="0.25">
      <c r="A57" t="s">
        <v>113</v>
      </c>
      <c r="B57" s="4">
        <v>36</v>
      </c>
      <c r="C57" t="s">
        <v>109</v>
      </c>
      <c r="D57" t="s">
        <v>15</v>
      </c>
      <c r="E57" t="s">
        <v>33</v>
      </c>
      <c r="F57" t="s">
        <v>9</v>
      </c>
    </row>
    <row r="58" spans="1:6" x14ac:dyDescent="0.25">
      <c r="A58" t="s">
        <v>114</v>
      </c>
      <c r="B58" t="s">
        <v>115</v>
      </c>
      <c r="C58" t="s">
        <v>116</v>
      </c>
      <c r="D58" t="s">
        <v>15</v>
      </c>
      <c r="E58" t="s">
        <v>27</v>
      </c>
      <c r="F58" t="s">
        <v>9</v>
      </c>
    </row>
    <row r="59" spans="1:6" x14ac:dyDescent="0.25">
      <c r="A59" t="s">
        <v>117</v>
      </c>
      <c r="B59" s="4">
        <v>120</v>
      </c>
      <c r="C59" t="s">
        <v>116</v>
      </c>
      <c r="D59" t="s">
        <v>15</v>
      </c>
      <c r="E59" t="s">
        <v>27</v>
      </c>
      <c r="F59" t="s">
        <v>9</v>
      </c>
    </row>
    <row r="60" spans="1:6" x14ac:dyDescent="0.25">
      <c r="A60" t="s">
        <v>118</v>
      </c>
      <c r="B60" t="s">
        <v>97</v>
      </c>
      <c r="C60" t="s">
        <v>116</v>
      </c>
      <c r="D60" t="s">
        <v>15</v>
      </c>
      <c r="E60" t="s">
        <v>16</v>
      </c>
      <c r="F60" t="s">
        <v>9</v>
      </c>
    </row>
    <row r="61" spans="1:6" x14ac:dyDescent="0.25">
      <c r="A61" t="s">
        <v>119</v>
      </c>
      <c r="B61" s="4">
        <v>1</v>
      </c>
      <c r="C61" t="s">
        <v>116</v>
      </c>
      <c r="D61" t="s">
        <v>15</v>
      </c>
      <c r="E61" t="s">
        <v>27</v>
      </c>
      <c r="F61" t="s">
        <v>9</v>
      </c>
    </row>
    <row r="62" spans="1:6" x14ac:dyDescent="0.25">
      <c r="A62" t="s">
        <v>120</v>
      </c>
      <c r="B62" s="4">
        <v>36</v>
      </c>
      <c r="C62" t="s">
        <v>116</v>
      </c>
      <c r="D62" t="s">
        <v>15</v>
      </c>
      <c r="E62" t="s">
        <v>27</v>
      </c>
      <c r="F62" t="s">
        <v>9</v>
      </c>
    </row>
    <row r="63" spans="1:6" x14ac:dyDescent="0.25">
      <c r="A63" t="s">
        <v>121</v>
      </c>
      <c r="B63" t="s">
        <v>122</v>
      </c>
      <c r="C63" t="s">
        <v>123</v>
      </c>
      <c r="D63" t="s">
        <v>15</v>
      </c>
      <c r="E63" t="s">
        <v>16</v>
      </c>
      <c r="F63" t="s">
        <v>9</v>
      </c>
    </row>
    <row r="64" spans="1:6" x14ac:dyDescent="0.25">
      <c r="A64" t="s">
        <v>124</v>
      </c>
      <c r="B64" s="4">
        <v>60</v>
      </c>
      <c r="C64" t="s">
        <v>123</v>
      </c>
      <c r="D64" t="s">
        <v>15</v>
      </c>
      <c r="E64" t="s">
        <v>16</v>
      </c>
      <c r="F64" t="s">
        <v>9</v>
      </c>
    </row>
    <row r="65" spans="1:6" x14ac:dyDescent="0.25">
      <c r="A65" t="s">
        <v>125</v>
      </c>
      <c r="B65" t="s">
        <v>97</v>
      </c>
      <c r="C65" t="s">
        <v>123</v>
      </c>
      <c r="D65" t="s">
        <v>15</v>
      </c>
      <c r="E65" t="s">
        <v>16</v>
      </c>
      <c r="F65" t="s">
        <v>9</v>
      </c>
    </row>
    <row r="66" spans="1:6" x14ac:dyDescent="0.25">
      <c r="A66" t="s">
        <v>126</v>
      </c>
      <c r="B66" s="4">
        <v>28</v>
      </c>
      <c r="C66" t="s">
        <v>123</v>
      </c>
      <c r="D66" t="s">
        <v>15</v>
      </c>
      <c r="E66" t="s">
        <v>16</v>
      </c>
      <c r="F66" t="s">
        <v>9</v>
      </c>
    </row>
    <row r="67" spans="1:6" x14ac:dyDescent="0.25">
      <c r="A67" t="s">
        <v>127</v>
      </c>
      <c r="B67" s="4">
        <v>36</v>
      </c>
      <c r="C67" t="s">
        <v>123</v>
      </c>
      <c r="D67" t="s">
        <v>15</v>
      </c>
      <c r="E67" t="s">
        <v>16</v>
      </c>
      <c r="F67" t="s">
        <v>9</v>
      </c>
    </row>
    <row r="68" spans="1:6" x14ac:dyDescent="0.25">
      <c r="A68" t="s">
        <v>128</v>
      </c>
      <c r="B68" t="s">
        <v>129</v>
      </c>
      <c r="C68" t="s">
        <v>130</v>
      </c>
      <c r="D68" t="s">
        <v>15</v>
      </c>
      <c r="E68" t="s">
        <v>16</v>
      </c>
      <c r="F68" t="s">
        <v>9</v>
      </c>
    </row>
    <row r="69" spans="1:6" x14ac:dyDescent="0.25">
      <c r="A69" t="s">
        <v>131</v>
      </c>
      <c r="B69" s="4">
        <v>0</v>
      </c>
      <c r="C69" t="s">
        <v>130</v>
      </c>
      <c r="D69" t="s">
        <v>15</v>
      </c>
      <c r="E69" t="s">
        <v>16</v>
      </c>
      <c r="F69" t="s">
        <v>9</v>
      </c>
    </row>
    <row r="70" spans="1:6" x14ac:dyDescent="0.25">
      <c r="A70" t="s">
        <v>132</v>
      </c>
      <c r="B70" t="s">
        <v>97</v>
      </c>
      <c r="C70" t="s">
        <v>130</v>
      </c>
      <c r="D70" t="s">
        <v>15</v>
      </c>
      <c r="E70" t="s">
        <v>16</v>
      </c>
      <c r="F70" t="s">
        <v>9</v>
      </c>
    </row>
    <row r="71" spans="1:6" x14ac:dyDescent="0.25">
      <c r="A71" t="s">
        <v>133</v>
      </c>
      <c r="B71" s="4">
        <v>1</v>
      </c>
      <c r="C71" t="s">
        <v>130</v>
      </c>
      <c r="D71" t="s">
        <v>15</v>
      </c>
      <c r="E71" t="s">
        <v>16</v>
      </c>
      <c r="F71" t="s">
        <v>9</v>
      </c>
    </row>
    <row r="72" spans="1:6" x14ac:dyDescent="0.25">
      <c r="A72" t="s">
        <v>134</v>
      </c>
      <c r="B72" s="4">
        <v>36</v>
      </c>
      <c r="C72" t="s">
        <v>130</v>
      </c>
      <c r="D72" t="s">
        <v>15</v>
      </c>
      <c r="E72" t="s">
        <v>16</v>
      </c>
      <c r="F72" t="s">
        <v>9</v>
      </c>
    </row>
    <row r="73" spans="1:6" x14ac:dyDescent="0.25">
      <c r="A73" t="s">
        <v>135</v>
      </c>
      <c r="B73" t="s">
        <v>136</v>
      </c>
      <c r="C73" t="s">
        <v>137</v>
      </c>
      <c r="D73" t="s">
        <v>15</v>
      </c>
      <c r="E73" t="s">
        <v>27</v>
      </c>
      <c r="F73" t="s">
        <v>9</v>
      </c>
    </row>
    <row r="74" spans="1:6" x14ac:dyDescent="0.25">
      <c r="A74" t="s">
        <v>138</v>
      </c>
      <c r="B74" s="4">
        <v>1</v>
      </c>
      <c r="C74" t="s">
        <v>137</v>
      </c>
      <c r="D74" t="s">
        <v>15</v>
      </c>
      <c r="E74" t="s">
        <v>27</v>
      </c>
      <c r="F74" t="s">
        <v>9</v>
      </c>
    </row>
    <row r="75" spans="1:6" x14ac:dyDescent="0.25">
      <c r="A75" t="s">
        <v>140</v>
      </c>
      <c r="B75" s="4">
        <v>1</v>
      </c>
      <c r="C75" t="s">
        <v>137</v>
      </c>
      <c r="D75" t="s">
        <v>15</v>
      </c>
      <c r="E75" t="s">
        <v>27</v>
      </c>
      <c r="F75" t="s">
        <v>9</v>
      </c>
    </row>
    <row r="76" spans="1:6" x14ac:dyDescent="0.25">
      <c r="A76" t="s">
        <v>141</v>
      </c>
      <c r="B76" s="4">
        <v>36</v>
      </c>
      <c r="C76" t="s">
        <v>137</v>
      </c>
      <c r="D76" t="s">
        <v>15</v>
      </c>
      <c r="E76" t="s">
        <v>27</v>
      </c>
      <c r="F76" t="s">
        <v>9</v>
      </c>
    </row>
    <row r="77" spans="1:6" x14ac:dyDescent="0.25">
      <c r="A77" t="s">
        <v>142</v>
      </c>
      <c r="B77" s="4">
        <v>150000</v>
      </c>
      <c r="C77" t="s">
        <v>137</v>
      </c>
      <c r="D77" t="s">
        <v>15</v>
      </c>
      <c r="E77" t="s">
        <v>27</v>
      </c>
      <c r="F77" t="s">
        <v>9</v>
      </c>
    </row>
    <row r="78" spans="1:6" x14ac:dyDescent="0.25">
      <c r="A78" t="s">
        <v>144</v>
      </c>
      <c r="B78" s="4">
        <v>0.09</v>
      </c>
      <c r="C78" t="s">
        <v>146</v>
      </c>
      <c r="D78" t="s">
        <v>15</v>
      </c>
      <c r="E78" t="s">
        <v>27</v>
      </c>
      <c r="F78" t="s">
        <v>9</v>
      </c>
    </row>
    <row r="79" spans="1:6" x14ac:dyDescent="0.25">
      <c r="A79" t="s">
        <v>147</v>
      </c>
      <c r="B79" s="4">
        <v>0.12</v>
      </c>
      <c r="C79" t="s">
        <v>148</v>
      </c>
      <c r="D79" t="s">
        <v>15</v>
      </c>
      <c r="E79" t="s">
        <v>33</v>
      </c>
      <c r="F79" t="s">
        <v>9</v>
      </c>
    </row>
    <row r="80" spans="1:6" x14ac:dyDescent="0.25">
      <c r="A80" t="s">
        <v>149</v>
      </c>
      <c r="B80" s="4">
        <v>2500</v>
      </c>
      <c r="C80" t="s">
        <v>151</v>
      </c>
      <c r="D80" t="s">
        <v>15</v>
      </c>
      <c r="E80" t="s">
        <v>27</v>
      </c>
      <c r="F80" t="s">
        <v>9</v>
      </c>
    </row>
    <row r="81" spans="1:6" x14ac:dyDescent="0.25">
      <c r="A81" t="s">
        <v>152</v>
      </c>
      <c r="B81" t="b">
        <v>1</v>
      </c>
      <c r="C81" t="s">
        <v>137</v>
      </c>
      <c r="D81" t="s">
        <v>15</v>
      </c>
      <c r="E81" t="s">
        <v>16</v>
      </c>
      <c r="F81" t="s">
        <v>9</v>
      </c>
    </row>
    <row r="82" spans="1:6" x14ac:dyDescent="0.25">
      <c r="A82" t="s">
        <v>154</v>
      </c>
      <c r="B82" t="b">
        <v>1</v>
      </c>
      <c r="C82" t="s">
        <v>155</v>
      </c>
      <c r="D82" t="s">
        <v>15</v>
      </c>
      <c r="E82" t="s">
        <v>27</v>
      </c>
      <c r="F82" t="s">
        <v>9</v>
      </c>
    </row>
    <row r="83" spans="1:6" x14ac:dyDescent="0.25">
      <c r="A83" t="s">
        <v>156</v>
      </c>
      <c r="B83" t="s">
        <v>157</v>
      </c>
      <c r="C83" t="s">
        <v>158</v>
      </c>
      <c r="D83" t="s">
        <v>15</v>
      </c>
      <c r="E83" t="s">
        <v>27</v>
      </c>
      <c r="F83" t="s">
        <v>9</v>
      </c>
    </row>
    <row r="84" spans="1:6" x14ac:dyDescent="0.25">
      <c r="A84" t="s">
        <v>159</v>
      </c>
      <c r="B84" s="4">
        <v>1</v>
      </c>
      <c r="C84" t="s">
        <v>158</v>
      </c>
      <c r="D84" t="s">
        <v>15</v>
      </c>
      <c r="E84" t="s">
        <v>27</v>
      </c>
      <c r="F84" t="s">
        <v>9</v>
      </c>
    </row>
    <row r="85" spans="1:6" x14ac:dyDescent="0.25">
      <c r="A85" t="s">
        <v>160</v>
      </c>
      <c r="B85" s="4">
        <v>13</v>
      </c>
      <c r="C85" t="s">
        <v>158</v>
      </c>
      <c r="D85" t="s">
        <v>15</v>
      </c>
      <c r="E85" t="s">
        <v>27</v>
      </c>
      <c r="F85" t="s">
        <v>9</v>
      </c>
    </row>
    <row r="86" spans="1:6" x14ac:dyDescent="0.25">
      <c r="A86" t="s">
        <v>161</v>
      </c>
      <c r="B86" s="4">
        <v>27</v>
      </c>
      <c r="C86" t="s">
        <v>158</v>
      </c>
      <c r="D86" t="s">
        <v>15</v>
      </c>
      <c r="E86" t="s">
        <v>27</v>
      </c>
      <c r="F86" t="s">
        <v>9</v>
      </c>
    </row>
    <row r="87" spans="1:6" x14ac:dyDescent="0.25">
      <c r="A87" t="s">
        <v>162</v>
      </c>
      <c r="B87" s="4">
        <v>72000</v>
      </c>
      <c r="C87" t="s">
        <v>158</v>
      </c>
      <c r="D87" t="s">
        <v>15</v>
      </c>
      <c r="E87" t="s">
        <v>27</v>
      </c>
      <c r="F87" t="s">
        <v>9</v>
      </c>
    </row>
    <row r="88" spans="1:6" x14ac:dyDescent="0.25">
      <c r="A88" t="s">
        <v>163</v>
      </c>
      <c r="B88" s="4">
        <v>0</v>
      </c>
      <c r="C88" t="s">
        <v>164</v>
      </c>
      <c r="D88" t="s">
        <v>15</v>
      </c>
      <c r="E88" t="s">
        <v>16</v>
      </c>
      <c r="F88" t="s">
        <v>9</v>
      </c>
    </row>
    <row r="89" spans="1:6" x14ac:dyDescent="0.25">
      <c r="A89" t="s">
        <v>165</v>
      </c>
      <c r="B89" s="4">
        <v>0</v>
      </c>
      <c r="C89" t="s">
        <v>166</v>
      </c>
      <c r="D89" t="s">
        <v>15</v>
      </c>
      <c r="E89" t="s">
        <v>16</v>
      </c>
      <c r="F89" t="s">
        <v>9</v>
      </c>
    </row>
    <row r="90" spans="1:6" x14ac:dyDescent="0.25">
      <c r="A90" t="s">
        <v>167</v>
      </c>
      <c r="B90" s="4">
        <v>0</v>
      </c>
      <c r="C90" t="s">
        <v>168</v>
      </c>
      <c r="D90" t="s">
        <v>15</v>
      </c>
      <c r="E90" t="s">
        <v>16</v>
      </c>
      <c r="F90" t="s">
        <v>9</v>
      </c>
    </row>
    <row r="91" spans="1:6" x14ac:dyDescent="0.25">
      <c r="A91" t="s">
        <v>169</v>
      </c>
      <c r="B91" t="b">
        <v>0</v>
      </c>
      <c r="C91" t="s">
        <v>158</v>
      </c>
      <c r="D91" t="s">
        <v>15</v>
      </c>
      <c r="E91" t="s">
        <v>16</v>
      </c>
      <c r="F91" t="s">
        <v>9</v>
      </c>
    </row>
    <row r="92" spans="1:6" x14ac:dyDescent="0.25">
      <c r="A92" t="s">
        <v>170</v>
      </c>
      <c r="B92" t="b">
        <v>0</v>
      </c>
      <c r="C92" t="s">
        <v>171</v>
      </c>
      <c r="D92" t="s">
        <v>15</v>
      </c>
      <c r="E92" t="s">
        <v>27</v>
      </c>
      <c r="F92" t="s">
        <v>9</v>
      </c>
    </row>
    <row r="93" spans="1:6" x14ac:dyDescent="0.25">
      <c r="A93" t="s">
        <v>172</v>
      </c>
      <c r="B93" t="s">
        <v>173</v>
      </c>
      <c r="C93" t="s">
        <v>174</v>
      </c>
      <c r="D93" t="s">
        <v>15</v>
      </c>
      <c r="E93" t="s">
        <v>27</v>
      </c>
      <c r="F93" t="s">
        <v>9</v>
      </c>
    </row>
    <row r="94" spans="1:6" x14ac:dyDescent="0.25">
      <c r="A94" t="s">
        <v>175</v>
      </c>
      <c r="B94" s="4">
        <v>1</v>
      </c>
      <c r="C94" t="s">
        <v>174</v>
      </c>
      <c r="D94" t="s">
        <v>15</v>
      </c>
      <c r="E94" t="s">
        <v>27</v>
      </c>
      <c r="F94" t="s">
        <v>9</v>
      </c>
    </row>
    <row r="95" spans="1:6" x14ac:dyDescent="0.25">
      <c r="A95" t="s">
        <v>176</v>
      </c>
      <c r="B95" s="4">
        <v>28</v>
      </c>
      <c r="C95" t="s">
        <v>174</v>
      </c>
      <c r="D95" t="s">
        <v>15</v>
      </c>
      <c r="E95" t="s">
        <v>27</v>
      </c>
      <c r="F95" t="s">
        <v>9</v>
      </c>
    </row>
    <row r="96" spans="1:6" x14ac:dyDescent="0.25">
      <c r="A96" t="s">
        <v>177</v>
      </c>
      <c r="B96" s="4">
        <v>36</v>
      </c>
      <c r="C96" t="s">
        <v>174</v>
      </c>
      <c r="D96" t="s">
        <v>15</v>
      </c>
      <c r="E96" t="s">
        <v>27</v>
      </c>
      <c r="F96" t="s">
        <v>9</v>
      </c>
    </row>
    <row r="97" spans="1:6" x14ac:dyDescent="0.25">
      <c r="A97" t="s">
        <v>178</v>
      </c>
      <c r="B97" s="4">
        <v>130000</v>
      </c>
      <c r="C97" t="s">
        <v>174</v>
      </c>
      <c r="D97" t="s">
        <v>15</v>
      </c>
      <c r="E97" t="s">
        <v>27</v>
      </c>
      <c r="F97" t="s">
        <v>9</v>
      </c>
    </row>
    <row r="98" spans="1:6" x14ac:dyDescent="0.25">
      <c r="A98" t="s">
        <v>179</v>
      </c>
      <c r="B98" s="4">
        <v>0.09</v>
      </c>
      <c r="C98" t="s">
        <v>146</v>
      </c>
      <c r="D98" t="s">
        <v>15</v>
      </c>
      <c r="E98" t="s">
        <v>27</v>
      </c>
      <c r="F98" t="s">
        <v>9</v>
      </c>
    </row>
    <row r="99" spans="1:6" x14ac:dyDescent="0.25">
      <c r="A99" t="s">
        <v>180</v>
      </c>
      <c r="B99" s="4">
        <v>0.12</v>
      </c>
      <c r="C99" t="s">
        <v>148</v>
      </c>
      <c r="D99" t="s">
        <v>15</v>
      </c>
      <c r="E99" t="s">
        <v>33</v>
      </c>
      <c r="F99" t="s">
        <v>9</v>
      </c>
    </row>
    <row r="100" spans="1:6" x14ac:dyDescent="0.25">
      <c r="A100" t="s">
        <v>181</v>
      </c>
      <c r="B100" s="4">
        <v>2500</v>
      </c>
      <c r="C100" t="s">
        <v>151</v>
      </c>
      <c r="D100" t="s">
        <v>15</v>
      </c>
      <c r="E100" t="s">
        <v>27</v>
      </c>
      <c r="F100" t="s">
        <v>9</v>
      </c>
    </row>
    <row r="101" spans="1:6" x14ac:dyDescent="0.25">
      <c r="A101" t="s">
        <v>182</v>
      </c>
      <c r="B101" t="b">
        <v>0</v>
      </c>
      <c r="C101" t="s">
        <v>174</v>
      </c>
      <c r="D101" t="s">
        <v>15</v>
      </c>
      <c r="E101" t="s">
        <v>16</v>
      </c>
      <c r="F101" t="s">
        <v>9</v>
      </c>
    </row>
    <row r="102" spans="1:6" x14ac:dyDescent="0.25">
      <c r="A102" t="s">
        <v>183</v>
      </c>
      <c r="B102" t="b">
        <v>0</v>
      </c>
      <c r="C102" t="s">
        <v>171</v>
      </c>
      <c r="D102" t="s">
        <v>15</v>
      </c>
      <c r="E102" t="s">
        <v>27</v>
      </c>
      <c r="F102" t="s">
        <v>9</v>
      </c>
    </row>
    <row r="103" spans="1:6" x14ac:dyDescent="0.25">
      <c r="A103" t="s">
        <v>184</v>
      </c>
      <c r="B103" t="s">
        <v>185</v>
      </c>
      <c r="C103" t="s">
        <v>186</v>
      </c>
      <c r="D103" t="s">
        <v>15</v>
      </c>
      <c r="E103" t="s">
        <v>27</v>
      </c>
      <c r="F103" t="s">
        <v>9</v>
      </c>
    </row>
    <row r="104" spans="1:6" x14ac:dyDescent="0.25">
      <c r="A104" t="s">
        <v>187</v>
      </c>
      <c r="B104" s="4">
        <v>250</v>
      </c>
      <c r="C104" t="s">
        <v>186</v>
      </c>
      <c r="D104" t="s">
        <v>15</v>
      </c>
      <c r="E104" t="s">
        <v>27</v>
      </c>
      <c r="F104" t="s">
        <v>9</v>
      </c>
    </row>
    <row r="105" spans="1:6" x14ac:dyDescent="0.25">
      <c r="A105" t="s">
        <v>188</v>
      </c>
      <c r="B105" t="s">
        <v>97</v>
      </c>
      <c r="C105" t="s">
        <v>186</v>
      </c>
      <c r="D105" t="s">
        <v>15</v>
      </c>
      <c r="E105" t="s">
        <v>16</v>
      </c>
      <c r="F105" t="s">
        <v>9</v>
      </c>
    </row>
    <row r="106" spans="1:6" x14ac:dyDescent="0.25">
      <c r="A106" t="s">
        <v>189</v>
      </c>
      <c r="B106" s="4">
        <v>1</v>
      </c>
      <c r="C106" t="s">
        <v>186</v>
      </c>
      <c r="D106" t="s">
        <v>15</v>
      </c>
      <c r="E106" t="s">
        <v>27</v>
      </c>
      <c r="F106" t="s">
        <v>9</v>
      </c>
    </row>
    <row r="107" spans="1:6" x14ac:dyDescent="0.25">
      <c r="A107" t="s">
        <v>190</v>
      </c>
      <c r="B107" s="4">
        <v>36</v>
      </c>
      <c r="C107" t="s">
        <v>186</v>
      </c>
      <c r="D107" t="s">
        <v>15</v>
      </c>
      <c r="E107" t="s">
        <v>27</v>
      </c>
      <c r="F107" t="s">
        <v>9</v>
      </c>
    </row>
    <row r="108" spans="1:6" x14ac:dyDescent="0.25">
      <c r="A108" t="s">
        <v>191</v>
      </c>
      <c r="B108" t="s">
        <v>192</v>
      </c>
      <c r="C108" t="s">
        <v>193</v>
      </c>
      <c r="D108" t="s">
        <v>15</v>
      </c>
      <c r="E108" t="s">
        <v>27</v>
      </c>
      <c r="F108" t="s">
        <v>9</v>
      </c>
    </row>
    <row r="109" spans="1:6" x14ac:dyDescent="0.25">
      <c r="A109" t="s">
        <v>194</v>
      </c>
      <c r="B109" s="4">
        <v>100</v>
      </c>
      <c r="C109" t="s">
        <v>193</v>
      </c>
      <c r="D109" t="s">
        <v>15</v>
      </c>
      <c r="E109" t="s">
        <v>27</v>
      </c>
      <c r="F109" t="s">
        <v>9</v>
      </c>
    </row>
    <row r="110" spans="1:6" x14ac:dyDescent="0.25">
      <c r="A110" t="s">
        <v>195</v>
      </c>
      <c r="B110" t="s">
        <v>97</v>
      </c>
      <c r="C110" t="s">
        <v>193</v>
      </c>
      <c r="D110" t="s">
        <v>15</v>
      </c>
      <c r="E110" t="s">
        <v>16</v>
      </c>
      <c r="F110" t="s">
        <v>9</v>
      </c>
    </row>
    <row r="111" spans="1:6" x14ac:dyDescent="0.25">
      <c r="A111" t="s">
        <v>196</v>
      </c>
      <c r="B111" s="4">
        <v>1</v>
      </c>
      <c r="C111" t="s">
        <v>193</v>
      </c>
      <c r="D111" t="s">
        <v>15</v>
      </c>
      <c r="E111" t="s">
        <v>27</v>
      </c>
      <c r="F111" t="s">
        <v>9</v>
      </c>
    </row>
    <row r="112" spans="1:6" x14ac:dyDescent="0.25">
      <c r="A112" t="s">
        <v>197</v>
      </c>
      <c r="B112" s="4">
        <v>36</v>
      </c>
      <c r="C112" t="s">
        <v>193</v>
      </c>
      <c r="D112" t="s">
        <v>15</v>
      </c>
      <c r="E112" t="s">
        <v>27</v>
      </c>
      <c r="F112" t="s">
        <v>9</v>
      </c>
    </row>
    <row r="113" spans="1:6" x14ac:dyDescent="0.25">
      <c r="A113" t="s">
        <v>198</v>
      </c>
      <c r="B113" t="s">
        <v>199</v>
      </c>
      <c r="C113" t="s">
        <v>200</v>
      </c>
      <c r="D113" t="s">
        <v>15</v>
      </c>
      <c r="E113" t="s">
        <v>33</v>
      </c>
      <c r="F113" t="s">
        <v>9</v>
      </c>
    </row>
    <row r="114" spans="1:6" x14ac:dyDescent="0.25">
      <c r="A114" t="s">
        <v>201</v>
      </c>
      <c r="B114" s="4">
        <v>6000</v>
      </c>
      <c r="C114" t="s">
        <v>200</v>
      </c>
      <c r="D114" t="s">
        <v>15</v>
      </c>
      <c r="E114" t="s">
        <v>33</v>
      </c>
      <c r="F114" t="s">
        <v>9</v>
      </c>
    </row>
    <row r="115" spans="1:6" x14ac:dyDescent="0.25">
      <c r="A115" t="s">
        <v>202</v>
      </c>
      <c r="B115" t="s">
        <v>40</v>
      </c>
      <c r="C115" t="s">
        <v>200</v>
      </c>
      <c r="D115" t="s">
        <v>15</v>
      </c>
      <c r="E115" t="s">
        <v>16</v>
      </c>
      <c r="F115" t="s">
        <v>9</v>
      </c>
    </row>
    <row r="116" spans="1:6" x14ac:dyDescent="0.25">
      <c r="A116" t="s">
        <v>203</v>
      </c>
      <c r="B116" s="4">
        <v>14</v>
      </c>
      <c r="C116" t="s">
        <v>200</v>
      </c>
      <c r="D116" t="s">
        <v>15</v>
      </c>
      <c r="E116" t="s">
        <v>33</v>
      </c>
      <c r="F116" t="s">
        <v>9</v>
      </c>
    </row>
    <row r="117" spans="1:6" x14ac:dyDescent="0.25">
      <c r="A117" t="s">
        <v>204</v>
      </c>
      <c r="B117" s="4">
        <v>14</v>
      </c>
      <c r="C117" t="s">
        <v>200</v>
      </c>
      <c r="D117" t="s">
        <v>15</v>
      </c>
      <c r="E117" t="s">
        <v>33</v>
      </c>
      <c r="F117" t="s">
        <v>9</v>
      </c>
    </row>
    <row r="118" spans="1:6" x14ac:dyDescent="0.25">
      <c r="A118" t="s">
        <v>205</v>
      </c>
      <c r="B118" t="s">
        <v>206</v>
      </c>
      <c r="C118" t="s">
        <v>207</v>
      </c>
      <c r="D118" t="s">
        <v>15</v>
      </c>
      <c r="E118" t="s">
        <v>33</v>
      </c>
      <c r="F118" t="s">
        <v>9</v>
      </c>
    </row>
    <row r="119" spans="1:6" x14ac:dyDescent="0.25">
      <c r="A119" t="s">
        <v>208</v>
      </c>
      <c r="B119" s="4">
        <v>4000</v>
      </c>
      <c r="C119" t="s">
        <v>207</v>
      </c>
      <c r="D119" t="s">
        <v>15</v>
      </c>
      <c r="E119" t="s">
        <v>33</v>
      </c>
      <c r="F119" t="s">
        <v>9</v>
      </c>
    </row>
    <row r="120" spans="1:6" x14ac:dyDescent="0.25">
      <c r="A120" t="s">
        <v>209</v>
      </c>
      <c r="B120" t="s">
        <v>40</v>
      </c>
      <c r="C120" t="s">
        <v>207</v>
      </c>
      <c r="D120" t="s">
        <v>15</v>
      </c>
      <c r="E120" t="s">
        <v>16</v>
      </c>
      <c r="F120" t="s">
        <v>9</v>
      </c>
    </row>
    <row r="121" spans="1:6" x14ac:dyDescent="0.25">
      <c r="A121" t="s">
        <v>210</v>
      </c>
      <c r="B121" s="4">
        <v>2</v>
      </c>
      <c r="C121" t="s">
        <v>207</v>
      </c>
      <c r="D121" t="s">
        <v>15</v>
      </c>
      <c r="E121" t="s">
        <v>33</v>
      </c>
      <c r="F121" t="s">
        <v>9</v>
      </c>
    </row>
    <row r="122" spans="1:6" x14ac:dyDescent="0.25">
      <c r="A122" t="s">
        <v>211</v>
      </c>
      <c r="B122" s="4">
        <v>2</v>
      </c>
      <c r="C122" t="s">
        <v>207</v>
      </c>
      <c r="D122" t="s">
        <v>15</v>
      </c>
      <c r="E122" t="s">
        <v>33</v>
      </c>
      <c r="F122" t="s">
        <v>9</v>
      </c>
    </row>
    <row r="123" spans="1:6" x14ac:dyDescent="0.25">
      <c r="A123" t="s">
        <v>212</v>
      </c>
      <c r="B123" t="s">
        <v>213</v>
      </c>
      <c r="C123" t="s">
        <v>214</v>
      </c>
      <c r="D123" t="s">
        <v>15</v>
      </c>
      <c r="E123" t="s">
        <v>33</v>
      </c>
      <c r="F123" t="s">
        <v>9</v>
      </c>
    </row>
    <row r="124" spans="1:6" x14ac:dyDescent="0.25">
      <c r="A124" t="s">
        <v>215</v>
      </c>
      <c r="B124" s="4">
        <v>3000</v>
      </c>
      <c r="C124" t="s">
        <v>214</v>
      </c>
      <c r="D124" t="s">
        <v>15</v>
      </c>
      <c r="E124" t="s">
        <v>33</v>
      </c>
      <c r="F124" t="s">
        <v>9</v>
      </c>
    </row>
    <row r="125" spans="1:6" x14ac:dyDescent="0.25">
      <c r="A125" t="s">
        <v>216</v>
      </c>
      <c r="B125" t="s">
        <v>40</v>
      </c>
      <c r="C125" t="s">
        <v>214</v>
      </c>
      <c r="D125" t="s">
        <v>15</v>
      </c>
      <c r="E125" t="s">
        <v>16</v>
      </c>
      <c r="F125" t="s">
        <v>9</v>
      </c>
    </row>
    <row r="126" spans="1:6" x14ac:dyDescent="0.25">
      <c r="A126" t="s">
        <v>217</v>
      </c>
      <c r="B126" s="4">
        <v>2</v>
      </c>
      <c r="C126" t="s">
        <v>214</v>
      </c>
      <c r="D126" t="s">
        <v>15</v>
      </c>
      <c r="E126" t="s">
        <v>33</v>
      </c>
      <c r="F126" t="s">
        <v>9</v>
      </c>
    </row>
    <row r="127" spans="1:6" x14ac:dyDescent="0.25">
      <c r="A127" t="s">
        <v>218</v>
      </c>
      <c r="B127" s="4">
        <v>2</v>
      </c>
      <c r="C127" t="s">
        <v>214</v>
      </c>
      <c r="D127" t="s">
        <v>15</v>
      </c>
      <c r="E127" t="s">
        <v>33</v>
      </c>
      <c r="F127" t="s">
        <v>9</v>
      </c>
    </row>
    <row r="128" spans="1:6" x14ac:dyDescent="0.25">
      <c r="A128" t="s">
        <v>219</v>
      </c>
      <c r="B128" t="s">
        <v>220</v>
      </c>
      <c r="C128" t="s">
        <v>221</v>
      </c>
      <c r="D128" t="s">
        <v>15</v>
      </c>
      <c r="E128" t="s">
        <v>27</v>
      </c>
      <c r="F128" t="s">
        <v>9</v>
      </c>
    </row>
    <row r="129" spans="1:6" x14ac:dyDescent="0.25">
      <c r="A129" t="s">
        <v>222</v>
      </c>
      <c r="B129" s="4">
        <v>1500</v>
      </c>
      <c r="C129" t="s">
        <v>221</v>
      </c>
      <c r="D129" t="s">
        <v>15</v>
      </c>
      <c r="E129" t="s">
        <v>27</v>
      </c>
      <c r="F129" t="s">
        <v>9</v>
      </c>
    </row>
    <row r="130" spans="1:6" x14ac:dyDescent="0.25">
      <c r="A130" t="s">
        <v>223</v>
      </c>
      <c r="B130" t="s">
        <v>40</v>
      </c>
      <c r="C130" t="s">
        <v>221</v>
      </c>
      <c r="D130" t="s">
        <v>15</v>
      </c>
      <c r="E130" t="s">
        <v>16</v>
      </c>
      <c r="F130" t="s">
        <v>9</v>
      </c>
    </row>
    <row r="131" spans="1:6" x14ac:dyDescent="0.25">
      <c r="A131" t="s">
        <v>224</v>
      </c>
      <c r="B131" s="4">
        <v>2</v>
      </c>
      <c r="C131" t="s">
        <v>221</v>
      </c>
      <c r="D131" t="s">
        <v>15</v>
      </c>
      <c r="E131" t="s">
        <v>27</v>
      </c>
      <c r="F131" t="s">
        <v>9</v>
      </c>
    </row>
    <row r="132" spans="1:6" x14ac:dyDescent="0.25">
      <c r="A132" t="s">
        <v>225</v>
      </c>
      <c r="B132" s="4">
        <v>2</v>
      </c>
      <c r="C132" t="s">
        <v>221</v>
      </c>
      <c r="D132" t="s">
        <v>15</v>
      </c>
      <c r="E132" t="s">
        <v>27</v>
      </c>
      <c r="F132" t="s">
        <v>9</v>
      </c>
    </row>
    <row r="133" spans="1:6" x14ac:dyDescent="0.25">
      <c r="A133" t="s">
        <v>226</v>
      </c>
      <c r="B133" t="s">
        <v>227</v>
      </c>
      <c r="C133" t="s">
        <v>228</v>
      </c>
      <c r="D133" t="s">
        <v>15</v>
      </c>
      <c r="E133" t="s">
        <v>27</v>
      </c>
      <c r="F133" t="s">
        <v>9</v>
      </c>
    </row>
    <row r="134" spans="1:6" x14ac:dyDescent="0.25">
      <c r="A134" t="s">
        <v>229</v>
      </c>
      <c r="B134" s="4">
        <v>300</v>
      </c>
      <c r="C134" t="s">
        <v>228</v>
      </c>
      <c r="D134" t="s">
        <v>15</v>
      </c>
      <c r="E134" t="s">
        <v>27</v>
      </c>
      <c r="F134" t="s">
        <v>9</v>
      </c>
    </row>
    <row r="135" spans="1:6" x14ac:dyDescent="0.25">
      <c r="A135" t="s">
        <v>230</v>
      </c>
      <c r="B135" t="s">
        <v>97</v>
      </c>
      <c r="C135" t="s">
        <v>228</v>
      </c>
      <c r="D135" t="s">
        <v>15</v>
      </c>
      <c r="E135" t="s">
        <v>16</v>
      </c>
      <c r="F135" t="s">
        <v>9</v>
      </c>
    </row>
    <row r="136" spans="1:6" x14ac:dyDescent="0.25">
      <c r="A136" t="s">
        <v>231</v>
      </c>
      <c r="B136" s="4">
        <v>1</v>
      </c>
      <c r="C136" t="s">
        <v>228</v>
      </c>
      <c r="D136" t="s">
        <v>15</v>
      </c>
      <c r="E136" t="s">
        <v>27</v>
      </c>
      <c r="F136" t="s">
        <v>9</v>
      </c>
    </row>
    <row r="137" spans="1:6" x14ac:dyDescent="0.25">
      <c r="A137" t="s">
        <v>232</v>
      </c>
      <c r="B137" s="4">
        <v>12</v>
      </c>
      <c r="C137" t="s">
        <v>228</v>
      </c>
      <c r="D137" t="s">
        <v>15</v>
      </c>
      <c r="E137" t="s">
        <v>27</v>
      </c>
      <c r="F137" t="s">
        <v>9</v>
      </c>
    </row>
    <row r="138" spans="1:6" x14ac:dyDescent="0.25">
      <c r="A138" t="s">
        <v>233</v>
      </c>
      <c r="B138" t="s">
        <v>234</v>
      </c>
      <c r="C138" t="s">
        <v>235</v>
      </c>
      <c r="D138" t="s">
        <v>15</v>
      </c>
      <c r="E138" t="s">
        <v>33</v>
      </c>
      <c r="F138" t="s">
        <v>9</v>
      </c>
    </row>
    <row r="139" spans="1:6" x14ac:dyDescent="0.25">
      <c r="A139" t="s">
        <v>236</v>
      </c>
      <c r="B139" s="4">
        <v>4500</v>
      </c>
      <c r="C139" t="s">
        <v>235</v>
      </c>
      <c r="D139" t="s">
        <v>15</v>
      </c>
      <c r="E139" t="s">
        <v>33</v>
      </c>
      <c r="F139" t="s">
        <v>9</v>
      </c>
    </row>
    <row r="140" spans="1:6" x14ac:dyDescent="0.25">
      <c r="A140" t="s">
        <v>237</v>
      </c>
      <c r="B140" t="s">
        <v>52</v>
      </c>
      <c r="C140" t="s">
        <v>235</v>
      </c>
      <c r="D140" t="s">
        <v>15</v>
      </c>
      <c r="E140" t="s">
        <v>16</v>
      </c>
      <c r="F140" t="s">
        <v>9</v>
      </c>
    </row>
    <row r="141" spans="1:6" x14ac:dyDescent="0.25">
      <c r="A141" t="s">
        <v>238</v>
      </c>
      <c r="B141" s="4">
        <v>14</v>
      </c>
      <c r="C141" t="s">
        <v>235</v>
      </c>
      <c r="D141" t="s">
        <v>15</v>
      </c>
      <c r="E141" t="s">
        <v>33</v>
      </c>
      <c r="F141" t="s">
        <v>9</v>
      </c>
    </row>
    <row r="142" spans="1:6" x14ac:dyDescent="0.25">
      <c r="A142" t="s">
        <v>239</v>
      </c>
      <c r="B142" s="4">
        <v>36</v>
      </c>
      <c r="C142" t="s">
        <v>235</v>
      </c>
      <c r="D142" t="s">
        <v>15</v>
      </c>
      <c r="E142" t="s">
        <v>33</v>
      </c>
      <c r="F142" t="s">
        <v>9</v>
      </c>
    </row>
    <row r="143" spans="1:6" x14ac:dyDescent="0.25">
      <c r="A143" t="s">
        <v>240</v>
      </c>
      <c r="B143" t="s">
        <v>241</v>
      </c>
      <c r="C143" t="s">
        <v>242</v>
      </c>
      <c r="D143" t="s">
        <v>15</v>
      </c>
      <c r="E143" t="s">
        <v>27</v>
      </c>
      <c r="F143" t="s">
        <v>9</v>
      </c>
    </row>
    <row r="144" spans="1:6" x14ac:dyDescent="0.25">
      <c r="A144" t="s">
        <v>243</v>
      </c>
      <c r="B144" s="4">
        <v>100</v>
      </c>
      <c r="C144" t="s">
        <v>242</v>
      </c>
      <c r="D144" t="s">
        <v>15</v>
      </c>
      <c r="E144" t="s">
        <v>27</v>
      </c>
      <c r="F144" t="s">
        <v>9</v>
      </c>
    </row>
    <row r="145" spans="1:6" x14ac:dyDescent="0.25">
      <c r="A145" t="s">
        <v>244</v>
      </c>
      <c r="B145" t="s">
        <v>97</v>
      </c>
      <c r="C145" t="s">
        <v>242</v>
      </c>
      <c r="D145" t="s">
        <v>15</v>
      </c>
      <c r="E145" t="s">
        <v>16</v>
      </c>
      <c r="F145" t="s">
        <v>9</v>
      </c>
    </row>
    <row r="146" spans="1:6" x14ac:dyDescent="0.25">
      <c r="A146" t="s">
        <v>245</v>
      </c>
      <c r="B146" s="4">
        <v>1</v>
      </c>
      <c r="C146" t="s">
        <v>242</v>
      </c>
      <c r="D146" t="s">
        <v>15</v>
      </c>
      <c r="E146" t="s">
        <v>27</v>
      </c>
      <c r="F146" t="s">
        <v>9</v>
      </c>
    </row>
    <row r="147" spans="1:6" x14ac:dyDescent="0.25">
      <c r="A147" t="s">
        <v>246</v>
      </c>
      <c r="B147" s="4">
        <v>36</v>
      </c>
      <c r="C147" t="s">
        <v>242</v>
      </c>
      <c r="D147" t="s">
        <v>15</v>
      </c>
      <c r="E147" t="s">
        <v>27</v>
      </c>
      <c r="F147" t="s">
        <v>9</v>
      </c>
    </row>
    <row r="148" spans="1:6" x14ac:dyDescent="0.25">
      <c r="A148" t="s">
        <v>247</v>
      </c>
      <c r="B148" t="s">
        <v>248</v>
      </c>
      <c r="C148" t="s">
        <v>249</v>
      </c>
      <c r="D148" t="s">
        <v>15</v>
      </c>
      <c r="E148" t="s">
        <v>16</v>
      </c>
      <c r="F148" t="s">
        <v>9</v>
      </c>
    </row>
    <row r="149" spans="1:6" x14ac:dyDescent="0.25">
      <c r="A149" t="s">
        <v>250</v>
      </c>
      <c r="B149" s="4">
        <v>0</v>
      </c>
      <c r="C149" t="s">
        <v>249</v>
      </c>
      <c r="D149" t="s">
        <v>15</v>
      </c>
      <c r="E149" t="s">
        <v>16</v>
      </c>
      <c r="F149" t="s">
        <v>9</v>
      </c>
    </row>
    <row r="150" spans="1:6" x14ac:dyDescent="0.25">
      <c r="A150" t="s">
        <v>251</v>
      </c>
      <c r="B150" t="s">
        <v>97</v>
      </c>
      <c r="C150" t="s">
        <v>249</v>
      </c>
      <c r="D150" t="s">
        <v>15</v>
      </c>
      <c r="E150" t="s">
        <v>16</v>
      </c>
      <c r="F150" t="s">
        <v>9</v>
      </c>
    </row>
    <row r="151" spans="1:6" x14ac:dyDescent="0.25">
      <c r="A151" t="s">
        <v>252</v>
      </c>
      <c r="B151" s="4">
        <v>1</v>
      </c>
      <c r="C151" t="s">
        <v>249</v>
      </c>
      <c r="D151" t="s">
        <v>15</v>
      </c>
      <c r="E151" t="s">
        <v>16</v>
      </c>
      <c r="F151" t="s">
        <v>9</v>
      </c>
    </row>
    <row r="152" spans="1:6" x14ac:dyDescent="0.25">
      <c r="A152" t="s">
        <v>253</v>
      </c>
      <c r="B152" s="4">
        <v>12</v>
      </c>
      <c r="C152" t="s">
        <v>249</v>
      </c>
      <c r="D152" t="s">
        <v>15</v>
      </c>
      <c r="E152" t="s">
        <v>16</v>
      </c>
      <c r="F152" t="s">
        <v>9</v>
      </c>
    </row>
    <row r="153" spans="1:6" x14ac:dyDescent="0.25">
      <c r="A153" t="s">
        <v>254</v>
      </c>
      <c r="B153" t="s">
        <v>255</v>
      </c>
      <c r="C153" t="s">
        <v>256</v>
      </c>
      <c r="D153" t="s">
        <v>15</v>
      </c>
      <c r="E153" t="s">
        <v>33</v>
      </c>
      <c r="F153" t="s">
        <v>9</v>
      </c>
    </row>
    <row r="154" spans="1:6" x14ac:dyDescent="0.25">
      <c r="A154" t="s">
        <v>257</v>
      </c>
      <c r="B154" s="4">
        <v>750</v>
      </c>
      <c r="C154" t="s">
        <v>256</v>
      </c>
      <c r="D154" t="s">
        <v>15</v>
      </c>
      <c r="E154" t="s">
        <v>33</v>
      </c>
      <c r="F154" t="s">
        <v>9</v>
      </c>
    </row>
    <row r="155" spans="1:6" x14ac:dyDescent="0.25">
      <c r="A155" t="s">
        <v>258</v>
      </c>
      <c r="B155" t="s">
        <v>97</v>
      </c>
      <c r="C155" t="s">
        <v>256</v>
      </c>
      <c r="D155" t="s">
        <v>15</v>
      </c>
      <c r="E155" t="s">
        <v>16</v>
      </c>
      <c r="F155" t="s">
        <v>9</v>
      </c>
    </row>
    <row r="156" spans="1:6" x14ac:dyDescent="0.25">
      <c r="A156" t="s">
        <v>259</v>
      </c>
      <c r="B156" s="4">
        <v>13</v>
      </c>
      <c r="C156" t="s">
        <v>256</v>
      </c>
      <c r="D156" t="s">
        <v>15</v>
      </c>
      <c r="E156" t="s">
        <v>33</v>
      </c>
      <c r="F156" t="s">
        <v>9</v>
      </c>
    </row>
    <row r="157" spans="1:6" x14ac:dyDescent="0.25">
      <c r="A157" t="s">
        <v>260</v>
      </c>
      <c r="B157" s="4">
        <v>36</v>
      </c>
      <c r="C157" t="s">
        <v>256</v>
      </c>
      <c r="D157" t="s">
        <v>15</v>
      </c>
      <c r="E157" t="s">
        <v>33</v>
      </c>
      <c r="F157" t="s">
        <v>9</v>
      </c>
    </row>
    <row r="158" spans="1:6" x14ac:dyDescent="0.25">
      <c r="A158" t="s">
        <v>261</v>
      </c>
      <c r="B158" t="s">
        <v>262</v>
      </c>
      <c r="C158" t="s">
        <v>263</v>
      </c>
      <c r="D158" t="s">
        <v>15</v>
      </c>
      <c r="E158" t="s">
        <v>33</v>
      </c>
      <c r="F158" t="s">
        <v>9</v>
      </c>
    </row>
    <row r="159" spans="1:6" x14ac:dyDescent="0.25">
      <c r="A159" t="s">
        <v>264</v>
      </c>
      <c r="B159" s="4">
        <v>200</v>
      </c>
      <c r="C159" t="s">
        <v>263</v>
      </c>
      <c r="D159" t="s">
        <v>15</v>
      </c>
      <c r="E159" t="s">
        <v>33</v>
      </c>
      <c r="F159" t="s">
        <v>9</v>
      </c>
    </row>
    <row r="160" spans="1:6" x14ac:dyDescent="0.25">
      <c r="A160" t="s">
        <v>265</v>
      </c>
      <c r="B160" t="s">
        <v>97</v>
      </c>
      <c r="C160" t="s">
        <v>263</v>
      </c>
      <c r="D160" t="s">
        <v>15</v>
      </c>
      <c r="E160" t="s">
        <v>16</v>
      </c>
      <c r="F160" t="s">
        <v>9</v>
      </c>
    </row>
    <row r="161" spans="1:6" x14ac:dyDescent="0.25">
      <c r="A161" t="s">
        <v>266</v>
      </c>
      <c r="B161" s="4">
        <v>1</v>
      </c>
      <c r="C161" t="s">
        <v>263</v>
      </c>
      <c r="D161" t="s">
        <v>15</v>
      </c>
      <c r="E161" t="s">
        <v>33</v>
      </c>
      <c r="F161" t="s">
        <v>9</v>
      </c>
    </row>
    <row r="162" spans="1:6" x14ac:dyDescent="0.25">
      <c r="A162" t="s">
        <v>267</v>
      </c>
      <c r="B162" s="4">
        <v>12</v>
      </c>
      <c r="C162" t="s">
        <v>263</v>
      </c>
      <c r="D162" t="s">
        <v>15</v>
      </c>
      <c r="E162" t="s">
        <v>33</v>
      </c>
      <c r="F162" t="s">
        <v>9</v>
      </c>
    </row>
    <row r="163" spans="1:6" x14ac:dyDescent="0.25">
      <c r="A163" t="s">
        <v>268</v>
      </c>
      <c r="B163" s="4">
        <v>0.03</v>
      </c>
      <c r="C163" t="s">
        <v>269</v>
      </c>
      <c r="D163" t="s">
        <v>15</v>
      </c>
      <c r="E163" t="s">
        <v>33</v>
      </c>
      <c r="F163" t="s">
        <v>9</v>
      </c>
    </row>
    <row r="164" spans="1:6" x14ac:dyDescent="0.25">
      <c r="A164" t="s">
        <v>270</v>
      </c>
      <c r="B164" s="4">
        <v>75</v>
      </c>
      <c r="C164" t="s">
        <v>272</v>
      </c>
      <c r="D164" t="s">
        <v>15</v>
      </c>
      <c r="E164" t="s">
        <v>33</v>
      </c>
      <c r="F164" t="s">
        <v>9</v>
      </c>
    </row>
    <row r="165" spans="1:6" x14ac:dyDescent="0.25">
      <c r="A165" t="s">
        <v>273</v>
      </c>
      <c r="B165" s="4">
        <v>0</v>
      </c>
      <c r="C165" t="s">
        <v>275</v>
      </c>
      <c r="D165" t="s">
        <v>15</v>
      </c>
      <c r="E165" t="s">
        <v>27</v>
      </c>
      <c r="F165" t="s">
        <v>9</v>
      </c>
    </row>
    <row r="166" spans="1:6" x14ac:dyDescent="0.25">
      <c r="A166" t="s">
        <v>276</v>
      </c>
      <c r="B166" s="4">
        <v>0.35</v>
      </c>
      <c r="C166" t="s">
        <v>278</v>
      </c>
      <c r="D166" t="s">
        <v>15</v>
      </c>
      <c r="E166" t="s">
        <v>33</v>
      </c>
      <c r="F166" t="s">
        <v>9</v>
      </c>
    </row>
    <row r="167" spans="1:6" x14ac:dyDescent="0.25">
      <c r="A167" t="s">
        <v>279</v>
      </c>
      <c r="B167" s="4">
        <v>0.05</v>
      </c>
      <c r="C167" t="s">
        <v>281</v>
      </c>
      <c r="D167" t="s">
        <v>15</v>
      </c>
      <c r="E167" t="s">
        <v>33</v>
      </c>
      <c r="F167" t="s">
        <v>9</v>
      </c>
    </row>
    <row r="168" spans="1:6" x14ac:dyDescent="0.25">
      <c r="A168" t="s">
        <v>282</v>
      </c>
      <c r="B168" s="4">
        <v>0.006</v>
      </c>
      <c r="C168" t="s">
        <v>283</v>
      </c>
      <c r="D168" t="s">
        <v>15</v>
      </c>
      <c r="E168" t="s">
        <v>33</v>
      </c>
      <c r="F168" t="s">
        <v>9</v>
      </c>
    </row>
    <row r="169" spans="1:6" x14ac:dyDescent="0.25">
      <c r="A169" t="s">
        <v>284</v>
      </c>
      <c r="B169" s="4">
        <v>9600</v>
      </c>
      <c r="C169" t="s">
        <v>286</v>
      </c>
      <c r="D169" t="s">
        <v>15</v>
      </c>
      <c r="E169" t="s">
        <v>27</v>
      </c>
      <c r="F169" t="s">
        <v>9</v>
      </c>
    </row>
    <row r="170" spans="1:6" x14ac:dyDescent="0.25">
      <c r="A170" t="s">
        <v>287</v>
      </c>
      <c r="B170" s="4">
        <v>0.05</v>
      </c>
      <c r="C170" t="s">
        <v>289</v>
      </c>
      <c r="D170" t="s">
        <v>15</v>
      </c>
      <c r="E170" t="s">
        <v>33</v>
      </c>
      <c r="F170" t="s">
        <v>9</v>
      </c>
    </row>
    <row r="171" spans="1:6" x14ac:dyDescent="0.25">
      <c r="A171" t="s">
        <v>290</v>
      </c>
      <c r="B171" s="4">
        <v>12</v>
      </c>
      <c r="C171" t="s">
        <v>292</v>
      </c>
      <c r="D171" t="s">
        <v>15</v>
      </c>
      <c r="E171" t="s">
        <v>27</v>
      </c>
      <c r="F171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Assumptions</vt:lpstr>
      <vt:lpstr>Scenarios</vt:lpstr>
      <vt:lpstr>Revenue</vt:lpstr>
      <vt:lpstr>Headcount</vt:lpstr>
      <vt:lpstr>OpEx</vt:lpstr>
      <vt:lpstr>Statements</vt:lpstr>
      <vt:lpstr>Cash</vt:lpstr>
      <vt:lpstr>Metrics</vt:lpstr>
      <vt:lpstr>Checks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Xozai financial-model engine</dc:creator>
  <dc:title/>
  <dc:subject/>
  <dc:description/>
  <cp:keywords/>
  <cp:category/>
  <cp:lastModifiedBy>Unknown</cp:lastModifiedBy>
  <dcterms:created xsi:type="dcterms:W3CDTF">2026-08-30T16:37:43Z</dcterms:created>
  <dcterms:modified xsi:type="dcterms:W3CDTF">2026-08-30T16:37:43Z</dcterms:modified>
</cp:coreProperties>
</file>